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sheets/sheet49.xml" ContentType="application/vnd.openxmlformats-officedocument.spreadsheetml.worksheet+xml"/>
  <Override PartName="/xl/tables/table46.xml" ContentType="application/vnd.openxmlformats-officedocument.spreadsheetml.table+xml"/>
  <Override PartName="/xl/worksheets/sheet50.xml" ContentType="application/vnd.openxmlformats-officedocument.spreadsheetml.worksheet+xml"/>
  <Override PartName="/xl/tables/table47.xml" ContentType="application/vnd.openxmlformats-officedocument.spreadsheetml.table+xml"/>
  <Override PartName="/xl/worksheets/sheet51.xml" ContentType="application/vnd.openxmlformats-officedocument.spreadsheetml.worksheet+xml"/>
  <Override PartName="/xl/tables/table48.xml" ContentType="application/vnd.openxmlformats-officedocument.spreadsheetml.table+xml"/>
  <Override PartName="/xl/worksheets/sheet52.xml" ContentType="application/vnd.openxmlformats-officedocument.spreadsheetml.worksheet+xml"/>
  <Override PartName="/xl/tables/table49.xml" ContentType="application/vnd.openxmlformats-officedocument.spreadsheetml.table+xml"/>
  <Override PartName="/xl/worksheets/sheet53.xml" ContentType="application/vnd.openxmlformats-officedocument.spreadsheetml.worksheet+xml"/>
  <Override PartName="/xl/tables/table50.xml" ContentType="application/vnd.openxmlformats-officedocument.spreadsheetml.table+xml"/>
  <Override PartName="/xl/worksheets/sheet54.xml" ContentType="application/vnd.openxmlformats-officedocument.spreadsheetml.worksheet+xml"/>
  <Override PartName="/xl/tables/table51.xml" ContentType="application/vnd.openxmlformats-officedocument.spreadsheetml.table+xml"/>
  <Override PartName="/xl/worksheets/sheet55.xml" ContentType="application/vnd.openxmlformats-officedocument.spreadsheetml.worksheet+xml"/>
  <Override PartName="/xl/tables/table52.xml" ContentType="application/vnd.openxmlformats-officedocument.spreadsheetml.table+xml"/>
  <Override PartName="/xl/worksheets/sheet56.xml" ContentType="application/vnd.openxmlformats-officedocument.spreadsheetml.worksheet+xml"/>
  <Override PartName="/xl/tables/table53.xml" ContentType="application/vnd.openxmlformats-officedocument.spreadsheetml.table+xml"/>
  <Override PartName="/xl/worksheets/sheet57.xml" ContentType="application/vnd.openxmlformats-officedocument.spreadsheetml.worksheet+xml"/>
  <Override PartName="/xl/tables/table54.xml" ContentType="application/vnd.openxmlformats-officedocument.spreadsheetml.table+xml"/>
  <Override PartName="/xl/worksheets/sheet58.xml" ContentType="application/vnd.openxmlformats-officedocument.spreadsheetml.worksheet+xml"/>
  <Override PartName="/xl/tables/table5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siness Dashboard" sheetId="1" state="visible" r:id="rId1"/>
    <sheet xmlns:r="http://schemas.openxmlformats.org/officeDocument/2006/relationships" name="Stock Master" sheetId="2" state="visible" r:id="rId2"/>
    <sheet xmlns:r="http://schemas.openxmlformats.org/officeDocument/2006/relationships" name="Daily Sales Log" sheetId="3" state="visible" r:id="rId3"/>
    <sheet xmlns:r="http://schemas.openxmlformats.org/officeDocument/2006/relationships" name="Daily Expenses Log" sheetId="4" state="visible" r:id="rId4"/>
    <sheet xmlns:r="http://schemas.openxmlformats.org/officeDocument/2006/relationships" name="Credit Sales Tracker" sheetId="5" state="visible" r:id="rId5"/>
    <sheet xmlns:r="http://schemas.openxmlformats.org/officeDocument/2006/relationships" name="Creditors Tracker" sheetId="6" state="visible" r:id="rId6"/>
    <sheet xmlns:r="http://schemas.openxmlformats.org/officeDocument/2006/relationships" name="Cash Position" sheetId="7" state="visible" r:id="rId7"/>
    <sheet xmlns:r="http://schemas.openxmlformats.org/officeDocument/2006/relationships" name="Daily Closing Log" sheetId="8" state="visible" r:id="rId8"/>
    <sheet xmlns:r="http://schemas.openxmlformats.org/officeDocument/2006/relationships" name="Daily Log Printable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01 Childrens Jackets Girls" sheetId="11" state="visible" r:id="rId11"/>
    <sheet xmlns:r="http://schemas.openxmlformats.org/officeDocument/2006/relationships" name="02 Childrens Jackets Boys" sheetId="12" state="visible" r:id="rId12"/>
    <sheet xmlns:r="http://schemas.openxmlformats.org/officeDocument/2006/relationships" name="03 Toddler 2Piece Clothing Suit" sheetId="13" state="visible" r:id="rId13"/>
    <sheet xmlns:r="http://schemas.openxmlformats.org/officeDocument/2006/relationships" name="04 Childrens Lace Dresses" sheetId="14" state="visible" r:id="rId14"/>
    <sheet xmlns:r="http://schemas.openxmlformats.org/officeDocument/2006/relationships" name="05 Childrens Denim AnkleLength" sheetId="15" state="visible" r:id="rId15"/>
    <sheet xmlns:r="http://schemas.openxmlformats.org/officeDocument/2006/relationships" name="06 Childrens Denim Casual Pants" sheetId="16" state="visible" r:id="rId16"/>
    <sheet xmlns:r="http://schemas.openxmlformats.org/officeDocument/2006/relationships" name="07 Childrens Casual AnkleLength" sheetId="17" state="visible" r:id="rId17"/>
    <sheet xmlns:r="http://schemas.openxmlformats.org/officeDocument/2006/relationships" name="08 Childrens Casual Cargo Trous" sheetId="18" state="visible" r:id="rId18"/>
    <sheet xmlns:r="http://schemas.openxmlformats.org/officeDocument/2006/relationships" name="09 Childrens Long Short Sleeve" sheetId="19" state="visible" r:id="rId19"/>
    <sheet xmlns:r="http://schemas.openxmlformats.org/officeDocument/2006/relationships" name="10 Childrens 2Piece TShirt Shor" sheetId="20" state="visible" r:id="rId20"/>
    <sheet xmlns:r="http://schemas.openxmlformats.org/officeDocument/2006/relationships" name="11 Ladies Woven Sweaters" sheetId="21" state="visible" r:id="rId21"/>
    <sheet xmlns:r="http://schemas.openxmlformats.org/officeDocument/2006/relationships" name="12 Ladies Denim Dresses" sheetId="22" state="visible" r:id="rId22"/>
    <sheet xmlns:r="http://schemas.openxmlformats.org/officeDocument/2006/relationships" name="13 Mens Woven Sweaters Style 19" sheetId="23" state="visible" r:id="rId23"/>
    <sheet xmlns:r="http://schemas.openxmlformats.org/officeDocument/2006/relationships" name="14 Mens Woven Sweaters Style 81" sheetId="24" state="visible" r:id="rId24"/>
    <sheet xmlns:r="http://schemas.openxmlformats.org/officeDocument/2006/relationships" name="15 Commercial Stationery Writin" sheetId="25" state="visible" r:id="rId25"/>
    <sheet xmlns:r="http://schemas.openxmlformats.org/officeDocument/2006/relationships" name="16 Ladies Fashion Dresses" sheetId="26" state="visible" r:id="rId26"/>
    <sheet xmlns:r="http://schemas.openxmlformats.org/officeDocument/2006/relationships" name="17 Ladies Long Dresses" sheetId="27" state="visible" r:id="rId27"/>
    <sheet xmlns:r="http://schemas.openxmlformats.org/officeDocument/2006/relationships" name="18 Ladies Black Dresses" sheetId="28" state="visible" r:id="rId28"/>
    <sheet xmlns:r="http://schemas.openxmlformats.org/officeDocument/2006/relationships" name="19 Ladies 2Piece Suits Brown" sheetId="29" state="visible" r:id="rId29"/>
    <sheet xmlns:r="http://schemas.openxmlformats.org/officeDocument/2006/relationships" name="20 Fashion Jackets Maroon" sheetId="30" state="visible" r:id="rId30"/>
    <sheet xmlns:r="http://schemas.openxmlformats.org/officeDocument/2006/relationships" name="21 Fashion Jackets Blue" sheetId="31" state="visible" r:id="rId31"/>
    <sheet xmlns:r="http://schemas.openxmlformats.org/officeDocument/2006/relationships" name="22 Ladies Knitted Scarves Style" sheetId="32" state="visible" r:id="rId32"/>
    <sheet xmlns:r="http://schemas.openxmlformats.org/officeDocument/2006/relationships" name="23 Ladies Woven Ponchos Shawls" sheetId="33" state="visible" r:id="rId33"/>
    <sheet xmlns:r="http://schemas.openxmlformats.org/officeDocument/2006/relationships" name="24 Ladies Textile Head Wraps" sheetId="34" state="visible" r:id="rId34"/>
    <sheet xmlns:r="http://schemas.openxmlformats.org/officeDocument/2006/relationships" name="25 Ladies Sleeveless Ponchos Ca" sheetId="35" state="visible" r:id="rId35"/>
    <sheet xmlns:r="http://schemas.openxmlformats.org/officeDocument/2006/relationships" name="26 Ladies Lightweight Scarves S" sheetId="36" state="visible" r:id="rId36"/>
    <sheet xmlns:r="http://schemas.openxmlformats.org/officeDocument/2006/relationships" name="27 Ladies Fashion Dresses Green" sheetId="37" state="visible" r:id="rId37"/>
    <sheet xmlns:r="http://schemas.openxmlformats.org/officeDocument/2006/relationships" name="28 Ladies Denim Dresses" sheetId="38" state="visible" r:id="rId38"/>
    <sheet xmlns:r="http://schemas.openxmlformats.org/officeDocument/2006/relationships" name="29 Ladies Small Pouch Bags" sheetId="39" state="visible" r:id="rId39"/>
    <sheet xmlns:r="http://schemas.openxmlformats.org/officeDocument/2006/relationships" name="30 Casual Sports Shoes Takkies" sheetId="40" state="visible" r:id="rId40"/>
    <sheet xmlns:r="http://schemas.openxmlformats.org/officeDocument/2006/relationships" name="31 Smart Audio Eyewear Bluetoot" sheetId="41" state="visible" r:id="rId41"/>
    <sheet xmlns:r="http://schemas.openxmlformats.org/officeDocument/2006/relationships" name="32 DualFunction USB Wall Power" sheetId="42" state="visible" r:id="rId42"/>
    <sheet xmlns:r="http://schemas.openxmlformats.org/officeDocument/2006/relationships" name="33 Ladies Fashion TShirts Type" sheetId="43" state="visible" r:id="rId43"/>
    <sheet xmlns:r="http://schemas.openxmlformats.org/officeDocument/2006/relationships" name="34 Ladies Fashion TShirts Type" sheetId="44" state="visible" r:id="rId44"/>
    <sheet xmlns:r="http://schemas.openxmlformats.org/officeDocument/2006/relationships" name="35 Ladies Fashion Cargo Dresses" sheetId="45" state="visible" r:id="rId45"/>
    <sheet xmlns:r="http://schemas.openxmlformats.org/officeDocument/2006/relationships" name="36 Ladies Fashion Cargo Dresses" sheetId="46" state="visible" r:id="rId46"/>
    <sheet xmlns:r="http://schemas.openxmlformats.org/officeDocument/2006/relationships" name="37 Knitted Sweaters" sheetId="47" state="visible" r:id="rId47"/>
    <sheet xmlns:r="http://schemas.openxmlformats.org/officeDocument/2006/relationships" name="38 Mens Fashion TShirts" sheetId="48" state="visible" r:id="rId48"/>
    <sheet xmlns:r="http://schemas.openxmlformats.org/officeDocument/2006/relationships" name="39 Ladies Fashion Skirts" sheetId="49" state="visible" r:id="rId49"/>
    <sheet xmlns:r="http://schemas.openxmlformats.org/officeDocument/2006/relationships" name="40 HighSpeed USB Data Cables" sheetId="50" state="visible" r:id="rId50"/>
    <sheet xmlns:r="http://schemas.openxmlformats.org/officeDocument/2006/relationships" name="41 Childrens Fashion Dresses Ye" sheetId="51" state="visible" r:id="rId51"/>
    <sheet xmlns:r="http://schemas.openxmlformats.org/officeDocument/2006/relationships" name="42 Ladies Straight Dresses Long" sheetId="52" state="visible" r:id="rId52"/>
    <sheet xmlns:r="http://schemas.openxmlformats.org/officeDocument/2006/relationships" name="43 Ladies Straight Dresses Shor" sheetId="53" state="visible" r:id="rId53"/>
    <sheet xmlns:r="http://schemas.openxmlformats.org/officeDocument/2006/relationships" name="44 Ladies Colorful Long Dresses" sheetId="54" state="visible" r:id="rId54"/>
    <sheet xmlns:r="http://schemas.openxmlformats.org/officeDocument/2006/relationships" name="45 Ladies Colorful Long Dresses" sheetId="55" state="visible" r:id="rId55"/>
    <sheet xmlns:r="http://schemas.openxmlformats.org/officeDocument/2006/relationships" name="46 Generic Perfumes Fragrances" sheetId="56" state="visible" r:id="rId56"/>
    <sheet xmlns:r="http://schemas.openxmlformats.org/officeDocument/2006/relationships" name="47 Ladies Fashion Cargo Dresses" sheetId="57" state="visible" r:id="rId57"/>
    <sheet xmlns:r="http://schemas.openxmlformats.org/officeDocument/2006/relationships" name="48 Ladies Fashion Cargo Dresses" sheetId="58" state="visible" r:id="rId58"/>
  </sheets>
  <definedNames>
    <definedName name="_xlnm.Print_Area" localSheetId="8">'Daily Log Printable'!$A$1:$H$56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00FFFFFF"/>
      <sz val="11"/>
    </font>
    <font>
      <name val="Carlito"/>
      <b val="1"/>
      <sz val="11"/>
    </font>
    <font>
      <name val="Carlito"/>
      <b val="1"/>
      <color rgb="00FFFFFF"/>
      <sz val="14"/>
    </font>
    <font>
      <b val="1"/>
      <color rgb="00FFFFFF"/>
      <sz val="16"/>
    </font>
    <font>
      <b val="1"/>
      <color rgb="00FFFFFF"/>
    </font>
    <font>
      <b val="1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17365D"/>
      </patternFill>
    </fill>
    <fill>
      <patternFill patternType="solid">
        <fgColor rgb="00F2F2F2"/>
      </patternFill>
    </fill>
  </fills>
  <borders count="3">
    <border/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1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4" fontId="0" fillId="0" borderId="0" pivotButton="0" quotePrefix="0" xfId="0"/>
    <xf numFmtId="4" fontId="2" fillId="3" borderId="0" applyAlignment="1" pivotButton="0" quotePrefix="0" xfId="0">
      <alignment horizontal="center"/>
    </xf>
    <xf numFmtId="4" fontId="0" fillId="0" borderId="1" pivotButton="0" quotePrefix="0" xfId="0"/>
    <xf numFmtId="4" fontId="2" fillId="3" borderId="1" applyAlignment="1" pivotButton="0" quotePrefix="0" xfId="0">
      <alignment horizontal="center"/>
    </xf>
    <xf numFmtId="3" fontId="0" fillId="0" borderId="0" pivotButton="0" quotePrefix="0" xfId="0"/>
    <xf numFmtId="3" fontId="2" fillId="3" borderId="0" applyAlignment="1" pivotButton="0" quotePrefix="0" xfId="0">
      <alignment horizontal="center"/>
    </xf>
    <xf numFmtId="3" fontId="0" fillId="0" borderId="1" pivotButton="0" quotePrefix="0" xfId="0"/>
    <xf numFmtId="3" fontId="2" fillId="3" borderId="1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4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0" fontId="4" fillId="5" borderId="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6" fillId="6" borderId="2" pivotButton="0" quotePrefix="0" xfId="0"/>
    <xf numFmtId="4" fontId="0" fillId="0" borderId="2" pivotButton="0" quotePrefix="0" xfId="0"/>
    <xf numFmtId="0" fontId="5" fillId="2" borderId="1" pivotButton="0" quotePrefix="0" xfId="0"/>
    <xf numFmtId="0" fontId="0" fillId="0" borderId="2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4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7" fillId="5" borderId="1" applyAlignment="1" pivotButton="0" quotePrefix="0" xfId="0">
      <alignment horizontal="center"/>
    </xf>
    <xf numFmtId="0" fontId="6" fillId="6" borderId="2" applyAlignment="1" pivotButton="0" quotePrefix="0" xfId="0">
      <alignment wrapText="1"/>
    </xf>
    <xf numFmtId="4" fontId="0" fillId="0" borderId="2" applyAlignment="1" pivotButton="0" quotePrefix="0" xfId="0">
      <alignment wrapText="1"/>
    </xf>
    <xf numFmtId="0" fontId="0" fillId="0" borderId="2" pivotButton="0" quotePrefix="0" xfId="0"/>
    <xf numFmtId="0" fontId="6" fillId="0" borderId="0" pivotButton="0" quotePrefix="0" xfId="0"/>
    <xf numFmtId="0" fontId="5" fillId="3" borderId="2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3" fontId="2" fillId="3" borderId="0" applyAlignment="1" pivotButton="0" quotePrefix="0" xfId="0">
      <alignment horizontal="center"/>
    </xf>
    <xf numFmtId="4" fontId="2" fillId="3" borderId="0" applyAlignment="1" pivotButton="0" quotePrefix="0" xfId="0">
      <alignment horizontal="center"/>
    </xf>
    <xf numFmtId="4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ables/table1.xml><?xml version="1.0" encoding="utf-8"?>
<table xmlns="http://schemas.openxmlformats.org/spreadsheetml/2006/main" id="1" name="StockMasterTable" displayName="StockMasterTable" ref="A1:L49" headerRowCount="1">
  <autoFilter ref="A1:L49"/>
  <tableColumns count="12">
    <tableColumn id="1" name="Item No."/>
    <tableColumn id="2" name="Product name"/>
    <tableColumn id="3" name="Initial stock"/>
    <tableColumn id="4" name="Unit cost RMB"/>
    <tableColumn id="5" name="Selling price RMB"/>
    <tableColumn id="6" name="Extra stock received / returns"/>
    <tableColumn id="7" name="Cash qty sold"/>
    <tableColumn id="8" name="Credit qty sold"/>
    <tableColumn id="9" name="Total qty sold"/>
    <tableColumn id="10" name="Closing stock"/>
    <tableColumn id="11" name="Sales value RMB"/>
    <tableColumn id="12" name="Closing stock value RMB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ilySalesTable" displayName="DailySalesTable" ref="A1:M501" headerRowCount="1">
  <autoFilter ref="A1:M501"/>
  <tableColumns count="13">
    <tableColumn id="1" name="Date"/>
    <tableColumn id="2" name="Receipt / Ref"/>
    <tableColumn id="3" name="Customer name"/>
    <tableColumn id="4" name="Item No."/>
    <tableColumn id="5" name="Product name"/>
    <tableColumn id="6" name="Unit selling price RMB"/>
    <tableColumn id="7" name="Qty sold cash"/>
    <tableColumn id="8" name="Qty sold credit"/>
    <tableColumn id="9" name="Total qty sold"/>
    <tableColumn id="10" name="Cash sales RMB"/>
    <tableColumn id="11" name="Credit sales RMB"/>
    <tableColumn id="12" name="Payment method"/>
    <tableColumn id="1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ilyExpensesTable" displayName="DailyExpensesTable" ref="A1:G501" headerRowCount="1">
  <autoFilter ref="A1:G501"/>
  <tableColumns count="7">
    <tableColumn id="1" name="Date"/>
    <tableColumn id="2" name="Expense category"/>
    <tableColumn id="3" name="Description"/>
    <tableColumn id="4" name="Paid to"/>
    <tableColumn id="5" name="Amount RMB"/>
    <tableColumn id="6" name="Payment method"/>
    <tableColumn id="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editSalesTable" displayName="CreditSalesTable" ref="A1:M501" headerRowCount="1">
  <autoFilter ref="A1:M501"/>
  <tableColumns count="13">
    <tableColumn id="1" name="Date sold"/>
    <tableColumn id="2" name="Customer name"/>
    <tableColumn id="3" name="Phone"/>
    <tableColumn id="4" name="Item No."/>
    <tableColumn id="5" name="Product name"/>
    <tableColumn id="6" name="Qty"/>
    <tableColumn id="7" name="Amount owed RMB"/>
    <tableColumn id="8" name="Amount paid RMB"/>
    <tableColumn id="9" name="Payment date"/>
    <tableColumn id="10" name="Balance RMB"/>
    <tableColumn id="11" name="Due date"/>
    <tableColumn id="12" name="Status"/>
    <tableColumn id="13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reditorsTable" displayName="CreditorsTable" ref="A1:K501" headerRowCount="1">
  <autoFilter ref="A1:K501"/>
  <tableColumns count="11">
    <tableColumn id="1" name="Date owed"/>
    <tableColumn id="2" name="Creditor / supplier"/>
    <tableColumn id="3" name="Description"/>
    <tableColumn id="4" name="Invoice / Ref"/>
    <tableColumn id="5" name="Amount owed RMB"/>
    <tableColumn id="6" name="Amount paid RMB"/>
    <tableColumn id="7" name="Payment date"/>
    <tableColumn id="8" name="Balance RMB"/>
    <tableColumn id="9" name="Due date"/>
    <tableColumn id="10" name="Status"/>
    <tableColumn id="11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ailyClosingTable" displayName="DailyClosingTable" ref="A1:K366" headerRowCount="1">
  <autoFilter ref="A1:K366"/>
  <tableColumns count="11">
    <tableColumn id="1" name="Date"/>
    <tableColumn id="2" name="Opening cash"/>
    <tableColumn id="3" name="Cash sales"/>
    <tableColumn id="4" name="Credit cash collected"/>
    <tableColumn id="5" name="Expenses paid"/>
    <tableColumn id="6" name="Creditor payments"/>
    <tableColumn id="7" name="Closing cash"/>
    <tableColumn id="8" name="Total stock on hand"/>
    <tableColumn id="9" name="Credit sales outstanding"/>
    <tableColumn id="10" name="Creditors outstanding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ockSummaryTable" displayName="StockSummaryTable" ref="A1:J50" headerRowCount="1">
  <tableColumns count="10">
    <tableColumn id="1" name="NO."/>
    <tableColumn id="2" name="Product name"/>
    <tableColumn id="3" name="Initial stock"/>
    <tableColumn id="4" name="Unit cost (RMB)"/>
    <tableColumn id="5" name="Selling price/item (RMB)"/>
    <tableColumn id="6" name="Unit cost (USD)"/>
    <tableColumn id="7" name="Selling price/item (USD)"/>
    <tableColumn id="8" name="Total cost (RMB)"/>
    <tableColumn id="9" name="Expected revenue (RMB)"/>
    <tableColumn id="10" name="Expected gross profit (RMB)"/>
  </tableColumns>
  <tableStyleInfo name="TableStyleMedium2" showRowStripes="1"/>
</table>
</file>

<file path=xl/tables/table8.xml><?xml version="1.0" encoding="utf-8"?>
<table xmlns="http://schemas.openxmlformats.org/spreadsheetml/2006/main" id="8" name="T01StockLog" displayName="T01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9.xml><?xml version="1.0" encoding="utf-8"?>
<table xmlns="http://schemas.openxmlformats.org/spreadsheetml/2006/main" id="9" name="T02StockLog" displayName="T02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0.xml><?xml version="1.0" encoding="utf-8"?>
<table xmlns="http://schemas.openxmlformats.org/spreadsheetml/2006/main" id="10" name="T03StockLog" displayName="T03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1.xml><?xml version="1.0" encoding="utf-8"?>
<table xmlns="http://schemas.openxmlformats.org/spreadsheetml/2006/main" id="11" name="T04StockLog" displayName="T04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2.xml><?xml version="1.0" encoding="utf-8"?>
<table xmlns="http://schemas.openxmlformats.org/spreadsheetml/2006/main" id="12" name="T05StockLog" displayName="T05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3.xml><?xml version="1.0" encoding="utf-8"?>
<table xmlns="http://schemas.openxmlformats.org/spreadsheetml/2006/main" id="13" name="T06StockLog" displayName="T06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4.xml><?xml version="1.0" encoding="utf-8"?>
<table xmlns="http://schemas.openxmlformats.org/spreadsheetml/2006/main" id="14" name="T07StockLog" displayName="T07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5.xml><?xml version="1.0" encoding="utf-8"?>
<table xmlns="http://schemas.openxmlformats.org/spreadsheetml/2006/main" id="15" name="T08StockLog" displayName="T08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6.xml><?xml version="1.0" encoding="utf-8"?>
<table xmlns="http://schemas.openxmlformats.org/spreadsheetml/2006/main" id="16" name="T09StockLog" displayName="T09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7.xml><?xml version="1.0" encoding="utf-8"?>
<table xmlns="http://schemas.openxmlformats.org/spreadsheetml/2006/main" id="17" name="T10StockLog" displayName="T10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8.xml><?xml version="1.0" encoding="utf-8"?>
<table xmlns="http://schemas.openxmlformats.org/spreadsheetml/2006/main" id="18" name="T11StockLog" displayName="T11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19.xml><?xml version="1.0" encoding="utf-8"?>
<table xmlns="http://schemas.openxmlformats.org/spreadsheetml/2006/main" id="19" name="T12StockLog" displayName="T12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0.xml><?xml version="1.0" encoding="utf-8"?>
<table xmlns="http://schemas.openxmlformats.org/spreadsheetml/2006/main" id="20" name="T13StockLog" displayName="T13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1.xml><?xml version="1.0" encoding="utf-8"?>
<table xmlns="http://schemas.openxmlformats.org/spreadsheetml/2006/main" id="21" name="T14StockLog" displayName="T14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2.xml><?xml version="1.0" encoding="utf-8"?>
<table xmlns="http://schemas.openxmlformats.org/spreadsheetml/2006/main" id="22" name="T15StockLog" displayName="T15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3.xml><?xml version="1.0" encoding="utf-8"?>
<table xmlns="http://schemas.openxmlformats.org/spreadsheetml/2006/main" id="23" name="T16StockLog" displayName="T16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4.xml><?xml version="1.0" encoding="utf-8"?>
<table xmlns="http://schemas.openxmlformats.org/spreadsheetml/2006/main" id="24" name="T17StockLog" displayName="T17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5.xml><?xml version="1.0" encoding="utf-8"?>
<table xmlns="http://schemas.openxmlformats.org/spreadsheetml/2006/main" id="25" name="T18StockLog" displayName="T18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6.xml><?xml version="1.0" encoding="utf-8"?>
<table xmlns="http://schemas.openxmlformats.org/spreadsheetml/2006/main" id="26" name="T19StockLog" displayName="T19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7.xml><?xml version="1.0" encoding="utf-8"?>
<table xmlns="http://schemas.openxmlformats.org/spreadsheetml/2006/main" id="27" name="T20StockLog" displayName="T20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8.xml><?xml version="1.0" encoding="utf-8"?>
<table xmlns="http://schemas.openxmlformats.org/spreadsheetml/2006/main" id="28" name="T21StockLog" displayName="T21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29.xml><?xml version="1.0" encoding="utf-8"?>
<table xmlns="http://schemas.openxmlformats.org/spreadsheetml/2006/main" id="29" name="T22StockLog" displayName="T22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0.xml><?xml version="1.0" encoding="utf-8"?>
<table xmlns="http://schemas.openxmlformats.org/spreadsheetml/2006/main" id="30" name="T23StockLog" displayName="T23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1.xml><?xml version="1.0" encoding="utf-8"?>
<table xmlns="http://schemas.openxmlformats.org/spreadsheetml/2006/main" id="31" name="T24StockLog" displayName="T24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2.xml><?xml version="1.0" encoding="utf-8"?>
<table xmlns="http://schemas.openxmlformats.org/spreadsheetml/2006/main" id="32" name="T25StockLog" displayName="T25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3.xml><?xml version="1.0" encoding="utf-8"?>
<table xmlns="http://schemas.openxmlformats.org/spreadsheetml/2006/main" id="33" name="T26StockLog" displayName="T26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4.xml><?xml version="1.0" encoding="utf-8"?>
<table xmlns="http://schemas.openxmlformats.org/spreadsheetml/2006/main" id="34" name="T27StockLog" displayName="T27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5.xml><?xml version="1.0" encoding="utf-8"?>
<table xmlns="http://schemas.openxmlformats.org/spreadsheetml/2006/main" id="35" name="T28StockLog" displayName="T28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6.xml><?xml version="1.0" encoding="utf-8"?>
<table xmlns="http://schemas.openxmlformats.org/spreadsheetml/2006/main" id="36" name="T29StockLog" displayName="T29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7.xml><?xml version="1.0" encoding="utf-8"?>
<table xmlns="http://schemas.openxmlformats.org/spreadsheetml/2006/main" id="37" name="T30StockLog" displayName="T30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8.xml><?xml version="1.0" encoding="utf-8"?>
<table xmlns="http://schemas.openxmlformats.org/spreadsheetml/2006/main" id="38" name="T31StockLog" displayName="T31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39.xml><?xml version="1.0" encoding="utf-8"?>
<table xmlns="http://schemas.openxmlformats.org/spreadsheetml/2006/main" id="39" name="T32StockLog" displayName="T32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0.xml><?xml version="1.0" encoding="utf-8"?>
<table xmlns="http://schemas.openxmlformats.org/spreadsheetml/2006/main" id="40" name="T33StockLog" displayName="T33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1.xml><?xml version="1.0" encoding="utf-8"?>
<table xmlns="http://schemas.openxmlformats.org/spreadsheetml/2006/main" id="41" name="T34StockLog" displayName="T34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2.xml><?xml version="1.0" encoding="utf-8"?>
<table xmlns="http://schemas.openxmlformats.org/spreadsheetml/2006/main" id="42" name="T35StockLog" displayName="T35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3.xml><?xml version="1.0" encoding="utf-8"?>
<table xmlns="http://schemas.openxmlformats.org/spreadsheetml/2006/main" id="43" name="T36StockLog" displayName="T36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4.xml><?xml version="1.0" encoding="utf-8"?>
<table xmlns="http://schemas.openxmlformats.org/spreadsheetml/2006/main" id="44" name="T37StockLog" displayName="T37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5.xml><?xml version="1.0" encoding="utf-8"?>
<table xmlns="http://schemas.openxmlformats.org/spreadsheetml/2006/main" id="45" name="T38StockLog" displayName="T38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6.xml><?xml version="1.0" encoding="utf-8"?>
<table xmlns="http://schemas.openxmlformats.org/spreadsheetml/2006/main" id="46" name="T39StockLog" displayName="T39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7.xml><?xml version="1.0" encoding="utf-8"?>
<table xmlns="http://schemas.openxmlformats.org/spreadsheetml/2006/main" id="47" name="T40StockLog" displayName="T40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8.xml><?xml version="1.0" encoding="utf-8"?>
<table xmlns="http://schemas.openxmlformats.org/spreadsheetml/2006/main" id="48" name="T41StockLog" displayName="T41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49.xml><?xml version="1.0" encoding="utf-8"?>
<table xmlns="http://schemas.openxmlformats.org/spreadsheetml/2006/main" id="49" name="T42StockLog" displayName="T42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50.xml><?xml version="1.0" encoding="utf-8"?>
<table xmlns="http://schemas.openxmlformats.org/spreadsheetml/2006/main" id="50" name="T43StockLog" displayName="T43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51.xml><?xml version="1.0" encoding="utf-8"?>
<table xmlns="http://schemas.openxmlformats.org/spreadsheetml/2006/main" id="51" name="T44StockLog" displayName="T44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52.xml><?xml version="1.0" encoding="utf-8"?>
<table xmlns="http://schemas.openxmlformats.org/spreadsheetml/2006/main" id="52" name="T45StockLog" displayName="T45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53.xml><?xml version="1.0" encoding="utf-8"?>
<table xmlns="http://schemas.openxmlformats.org/spreadsheetml/2006/main" id="53" name="T46StockLog" displayName="T46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54.xml><?xml version="1.0" encoding="utf-8"?>
<table xmlns="http://schemas.openxmlformats.org/spreadsheetml/2006/main" id="54" name="T47StockLog" displayName="T47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ables/table55.xml><?xml version="1.0" encoding="utf-8"?>
<table xmlns="http://schemas.openxmlformats.org/spreadsheetml/2006/main" id="55" name="T48StockLog" displayName="T48StockLog" ref="A10:I110" headerRowCount="1">
  <tableColumns count="9">
    <tableColumn id="1" name="Date"/>
    <tableColumn id="2" name="Opening balance"/>
    <tableColumn id="3" name="Stock received"/>
    <tableColumn id="4" name="Quantity sold"/>
    <tableColumn id="5" name="Returns"/>
    <tableColumn id="6" name="Closing balance"/>
    <tableColumn id="7" name="Sales value (RMB)"/>
    <tableColumn id="8" name="Sales value (USD)"/>
    <tableColumn id="9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4" t="inlineStr">
        <is>
          <t>Business Control Dashboard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3" ht="30" customHeight="1">
      <c r="A3" s="45" t="inlineStr">
        <is>
          <t>Metric</t>
        </is>
      </c>
      <c r="B3" s="45" t="inlineStr">
        <is>
          <t>Value</t>
        </is>
      </c>
    </row>
    <row r="4">
      <c r="A4" s="46" t="inlineStr">
        <is>
          <t>Initial stock items</t>
        </is>
      </c>
      <c r="B4" s="47">
        <f>SUM('Stock Master'!C2:C49)</f>
        <v/>
      </c>
    </row>
    <row r="5">
      <c r="A5" s="46" t="inlineStr">
        <is>
          <t>Current stock items on hand</t>
        </is>
      </c>
      <c r="B5" s="47">
        <f>SUM('Stock Master'!J2:J49)</f>
        <v/>
      </c>
    </row>
    <row r="6">
      <c r="A6" s="46" t="inlineStr">
        <is>
          <t>Stock sold to date</t>
        </is>
      </c>
      <c r="B6" s="47">
        <f>SUM('Stock Master'!I2:I49)</f>
        <v/>
      </c>
    </row>
    <row r="7">
      <c r="A7" s="46" t="inlineStr">
        <is>
          <t>Cash sales collected (RMB)</t>
        </is>
      </c>
      <c r="B7" s="47">
        <f>SUM('Daily Sales Log'!J2:J501)</f>
        <v/>
      </c>
    </row>
    <row r="8">
      <c r="A8" s="46" t="inlineStr">
        <is>
          <t>Credit cash collected (RMB)</t>
        </is>
      </c>
      <c r="B8" s="47">
        <f>SUM('Credit Sales Tracker'!H2:H501)</f>
        <v/>
      </c>
    </row>
    <row r="9">
      <c r="A9" s="46" t="inlineStr">
        <is>
          <t>Expenses paid (RMB)</t>
        </is>
      </c>
      <c r="B9" s="47">
        <f>SUM('Daily Expenses Log'!E2:E501)</f>
        <v/>
      </c>
    </row>
    <row r="10">
      <c r="A10" s="46" t="inlineStr">
        <is>
          <t>Supplier/creditor payments (RMB)</t>
        </is>
      </c>
      <c r="B10" s="47">
        <f>SUM('Creditors Tracker'!F2:F501)</f>
        <v/>
      </c>
    </row>
    <row r="11">
      <c r="A11" s="46" t="inlineStr">
        <is>
          <t>Cash in hand (RMB)</t>
        </is>
      </c>
      <c r="B11" s="47">
        <f>'Cash Position'!B10</f>
        <v/>
      </c>
    </row>
    <row r="12">
      <c r="A12" s="46" t="inlineStr">
        <is>
          <t>Credit sales outstanding (RMB)</t>
        </is>
      </c>
      <c r="B12" s="47">
        <f>'Cash Position'!B11</f>
        <v/>
      </c>
    </row>
    <row r="13">
      <c r="A13" s="46" t="inlineStr">
        <is>
          <t>Outstanding creditors (RMB)</t>
        </is>
      </c>
      <c r="B13" s="47">
        <f>'Cash Position'!B12</f>
        <v/>
      </c>
    </row>
    <row r="14">
      <c r="A14" s="46" t="inlineStr">
        <is>
          <t>Stock at selling value on hand (RMB)</t>
        </is>
      </c>
      <c r="B14" s="47">
        <f>'Cash Position'!B13</f>
        <v/>
      </c>
    </row>
    <row r="17">
      <c r="A17" s="48" t="inlineStr">
        <is>
          <t>How to use this workbook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49" t="n">
        <v>1</v>
      </c>
      <c r="B18" s="49" t="inlineStr">
        <is>
          <t>During the day, write every sale and expense on the Daily Log Printable sheet or directly in the logs.</t>
        </is>
      </c>
      <c r="C18" s="49" t="n"/>
      <c r="D18" s="49" t="n"/>
      <c r="E18" s="49" t="n"/>
      <c r="F18" s="49" t="n"/>
      <c r="G18" s="49" t="n"/>
      <c r="H18" s="49" t="n"/>
      <c r="I18" s="49" t="n"/>
      <c r="J18" s="49" t="n"/>
    </row>
    <row r="19">
      <c r="A19" s="49" t="n">
        <v>2</v>
      </c>
      <c r="B19" s="49" t="inlineStr">
        <is>
          <t>At the end of the day, enter sales into Daily Sales Log and expenses into Daily Expenses Log.</t>
        </is>
      </c>
      <c r="C19" s="49" t="n"/>
      <c r="D19" s="49" t="n"/>
      <c r="E19" s="49" t="n"/>
      <c r="F19" s="49" t="n"/>
      <c r="G19" s="49" t="n"/>
      <c r="H19" s="49" t="n"/>
      <c r="I19" s="49" t="n"/>
      <c r="J19" s="49" t="n"/>
    </row>
    <row r="20">
      <c r="A20" s="49" t="n">
        <v>3</v>
      </c>
      <c r="B20" s="49" t="inlineStr">
        <is>
          <t>Credit sales should also be entered into Credit Sales Tracker so customer balances are visible.</t>
        </is>
      </c>
      <c r="C20" s="49" t="n"/>
      <c r="D20" s="49" t="n"/>
      <c r="E20" s="49" t="n"/>
      <c r="F20" s="49" t="n"/>
      <c r="G20" s="49" t="n"/>
      <c r="H20" s="49" t="n"/>
      <c r="I20" s="49" t="n"/>
      <c r="J20" s="49" t="n"/>
    </row>
    <row r="21">
      <c r="A21" s="49" t="n">
        <v>4</v>
      </c>
      <c r="B21" s="49" t="inlineStr">
        <is>
          <t>Money owed to suppliers, transporters, agents, or other people goes into Creditors Tracker.</t>
        </is>
      </c>
      <c r="C21" s="49" t="n"/>
      <c r="D21" s="49" t="n"/>
      <c r="E21" s="49" t="n"/>
      <c r="F21" s="49" t="n"/>
      <c r="G21" s="49" t="n"/>
      <c r="H21" s="49" t="n"/>
      <c r="I21" s="49" t="n"/>
      <c r="J21" s="49" t="n"/>
    </row>
    <row r="22">
      <c r="A22" s="49" t="n">
        <v>5</v>
      </c>
      <c r="B22" s="49" t="inlineStr">
        <is>
          <t>Cash Position and Stock Master update automatically from the logs.</t>
        </is>
      </c>
      <c r="C22" s="49" t="n"/>
      <c r="D22" s="49" t="n"/>
      <c r="E22" s="49" t="n"/>
      <c r="F22" s="49" t="n"/>
      <c r="G22" s="49" t="n"/>
      <c r="H22" s="49" t="n"/>
      <c r="I22" s="49" t="n"/>
      <c r="J22" s="49" t="n"/>
    </row>
    <row r="23">
      <c r="A23" s="49" t="n">
        <v>6</v>
      </c>
      <c r="B23" s="49" t="inlineStr">
        <is>
          <t>The individual item pages from your earlier workbook remain for detailed manual checking if required.</t>
        </is>
      </c>
      <c r="C23" s="49" t="n"/>
      <c r="D23" s="49" t="n"/>
      <c r="E23" s="49" t="n"/>
      <c r="F23" s="49" t="n"/>
      <c r="G23" s="49" t="n"/>
      <c r="H23" s="49" t="n"/>
      <c r="I23" s="49" t="n"/>
      <c r="J23" s="49" t="n"/>
    </row>
  </sheetData>
  <mergeCells count="8">
    <mergeCell ref="A1:J1"/>
    <mergeCell ref="B19:J19"/>
    <mergeCell ref="B20:J20"/>
    <mergeCell ref="A17:J17"/>
    <mergeCell ref="B22:J22"/>
    <mergeCell ref="B23:J23"/>
    <mergeCell ref="B18:J18"/>
    <mergeCell ref="B21:J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2" customWidth="1" min="3" max="3"/>
    <col width="13" customWidth="1" min="4" max="4"/>
    <col width="14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8" customWidth="1" min="12" max="12"/>
  </cols>
  <sheetData>
    <row r="1" ht="30" customHeight="1">
      <c r="A1" s="50" t="inlineStr">
        <is>
          <t>Item No.</t>
        </is>
      </c>
      <c r="B1" s="50" t="inlineStr">
        <is>
          <t>Product name</t>
        </is>
      </c>
      <c r="C1" s="50" t="inlineStr">
        <is>
          <t>Initial stock</t>
        </is>
      </c>
      <c r="D1" s="50" t="inlineStr">
        <is>
          <t>Unit cost RMB</t>
        </is>
      </c>
      <c r="E1" s="50" t="inlineStr">
        <is>
          <t>Selling price RMB</t>
        </is>
      </c>
      <c r="F1" s="50" t="inlineStr">
        <is>
          <t>Extra stock received / returns</t>
        </is>
      </c>
      <c r="G1" s="50" t="inlineStr">
        <is>
          <t>Cash qty sold</t>
        </is>
      </c>
      <c r="H1" s="50" t="inlineStr">
        <is>
          <t>Credit qty sold</t>
        </is>
      </c>
      <c r="I1" s="50" t="inlineStr">
        <is>
          <t>Total qty sold</t>
        </is>
      </c>
      <c r="J1" s="50" t="inlineStr">
        <is>
          <t>Closing stock</t>
        </is>
      </c>
      <c r="K1" s="50" t="inlineStr">
        <is>
          <t>Sales value RMB</t>
        </is>
      </c>
      <c r="L1" s="50" t="inlineStr">
        <is>
          <t>Closing stock value RMB</t>
        </is>
      </c>
    </row>
    <row r="2">
      <c r="A2" s="49" t="n">
        <v>1</v>
      </c>
      <c r="B2" s="49" t="inlineStr">
        <is>
          <t>Children's Jackets (Girls)</t>
        </is>
      </c>
      <c r="C2" s="51" t="n">
        <v>10</v>
      </c>
      <c r="D2" s="51" t="n">
        <v>55</v>
      </c>
      <c r="E2" s="51" t="n">
        <v>110</v>
      </c>
      <c r="F2" s="51" t="n">
        <v>0</v>
      </c>
      <c r="G2" s="51">
        <f>SUMIF('Daily Sales Log'!$D:$D,A2,'Daily Sales Log'!$G:$G)</f>
        <v/>
      </c>
      <c r="H2" s="51">
        <f>SUMIF('Daily Sales Log'!$D:$D,A2,'Daily Sales Log'!$H:$H)</f>
        <v/>
      </c>
      <c r="I2" s="51">
        <f>G2+H2</f>
        <v/>
      </c>
      <c r="J2" s="51">
        <f>C2+F2-I2</f>
        <v/>
      </c>
      <c r="K2" s="51">
        <f>I2*E2</f>
        <v/>
      </c>
      <c r="L2" s="51">
        <f>J2*E2</f>
        <v/>
      </c>
    </row>
    <row r="3">
      <c r="A3" s="49" t="n">
        <v>2</v>
      </c>
      <c r="B3" s="49" t="inlineStr">
        <is>
          <t>Children's Jackets (Boys)</t>
        </is>
      </c>
      <c r="C3" s="51" t="n">
        <v>10</v>
      </c>
      <c r="D3" s="51" t="n">
        <v>45</v>
      </c>
      <c r="E3" s="51" t="n">
        <v>90</v>
      </c>
      <c r="F3" s="51" t="n">
        <v>0</v>
      </c>
      <c r="G3" s="51">
        <f>SUMIF('Daily Sales Log'!$D:$D,A3,'Daily Sales Log'!$G:$G)</f>
        <v/>
      </c>
      <c r="H3" s="51">
        <f>SUMIF('Daily Sales Log'!$D:$D,A3,'Daily Sales Log'!$H:$H)</f>
        <v/>
      </c>
      <c r="I3" s="51">
        <f>G3+H3</f>
        <v/>
      </c>
      <c r="J3" s="51">
        <f>C3+F3-I3</f>
        <v/>
      </c>
      <c r="K3" s="51">
        <f>I3*E3</f>
        <v/>
      </c>
      <c r="L3" s="51">
        <f>J3*E3</f>
        <v/>
      </c>
    </row>
    <row r="4">
      <c r="A4" s="49" t="n">
        <v>3</v>
      </c>
      <c r="B4" s="49" t="inlineStr">
        <is>
          <t>Toddler 2-Piece Clothing Suits</t>
        </is>
      </c>
      <c r="C4" s="51" t="n">
        <v>48</v>
      </c>
      <c r="D4" s="51" t="n">
        <v>32</v>
      </c>
      <c r="E4" s="51" t="n">
        <v>64</v>
      </c>
      <c r="F4" s="51" t="n">
        <v>0</v>
      </c>
      <c r="G4" s="51">
        <f>SUMIF('Daily Sales Log'!$D:$D,A4,'Daily Sales Log'!$G:$G)</f>
        <v/>
      </c>
      <c r="H4" s="51">
        <f>SUMIF('Daily Sales Log'!$D:$D,A4,'Daily Sales Log'!$H:$H)</f>
        <v/>
      </c>
      <c r="I4" s="51">
        <f>G4+H4</f>
        <v/>
      </c>
      <c r="J4" s="51">
        <f>C4+F4-I4</f>
        <v/>
      </c>
      <c r="K4" s="51">
        <f>I4*E4</f>
        <v/>
      </c>
      <c r="L4" s="51">
        <f>J4*E4</f>
        <v/>
      </c>
    </row>
    <row r="5">
      <c r="A5" s="49" t="n">
        <v>4</v>
      </c>
      <c r="B5" s="49" t="inlineStr">
        <is>
          <t>Children's Lace Dresses</t>
        </is>
      </c>
      <c r="C5" s="51" t="n">
        <v>10</v>
      </c>
      <c r="D5" s="51" t="n">
        <v>35</v>
      </c>
      <c r="E5" s="51" t="n">
        <v>70</v>
      </c>
      <c r="F5" s="51" t="n">
        <v>0</v>
      </c>
      <c r="G5" s="51">
        <f>SUMIF('Daily Sales Log'!$D:$D,A5,'Daily Sales Log'!$G:$G)</f>
        <v/>
      </c>
      <c r="H5" s="51">
        <f>SUMIF('Daily Sales Log'!$D:$D,A5,'Daily Sales Log'!$H:$H)</f>
        <v/>
      </c>
      <c r="I5" s="51">
        <f>G5+H5</f>
        <v/>
      </c>
      <c r="J5" s="51">
        <f>C5+F5-I5</f>
        <v/>
      </c>
      <c r="K5" s="51">
        <f>I5*E5</f>
        <v/>
      </c>
      <c r="L5" s="51">
        <f>J5*E5</f>
        <v/>
      </c>
    </row>
    <row r="6">
      <c r="A6" s="49" t="n">
        <v>5</v>
      </c>
      <c r="B6" s="49" t="inlineStr">
        <is>
          <t>Children's Denim Ankle-Length Pants</t>
        </is>
      </c>
      <c r="C6" s="51" t="n">
        <v>5</v>
      </c>
      <c r="D6" s="51" t="n">
        <v>23</v>
      </c>
      <c r="E6" s="51" t="n">
        <v>46</v>
      </c>
      <c r="F6" s="51" t="n">
        <v>0</v>
      </c>
      <c r="G6" s="51">
        <f>SUMIF('Daily Sales Log'!$D:$D,A6,'Daily Sales Log'!$G:$G)</f>
        <v/>
      </c>
      <c r="H6" s="51">
        <f>SUMIF('Daily Sales Log'!$D:$D,A6,'Daily Sales Log'!$H:$H)</f>
        <v/>
      </c>
      <c r="I6" s="51">
        <f>G6+H6</f>
        <v/>
      </c>
      <c r="J6" s="51">
        <f>C6+F6-I6</f>
        <v/>
      </c>
      <c r="K6" s="51">
        <f>I6*E6</f>
        <v/>
      </c>
      <c r="L6" s="51">
        <f>J6*E6</f>
        <v/>
      </c>
    </row>
    <row r="7">
      <c r="A7" s="49" t="n">
        <v>6</v>
      </c>
      <c r="B7" s="49" t="inlineStr">
        <is>
          <t>Children's Denim Casual Pants (Blue, Gold Rim)</t>
        </is>
      </c>
      <c r="C7" s="51" t="n">
        <v>5</v>
      </c>
      <c r="D7" s="51" t="n">
        <v>23</v>
      </c>
      <c r="E7" s="51" t="n">
        <v>46</v>
      </c>
      <c r="F7" s="51" t="n">
        <v>0</v>
      </c>
      <c r="G7" s="51">
        <f>SUMIF('Daily Sales Log'!$D:$D,A7,'Daily Sales Log'!$G:$G)</f>
        <v/>
      </c>
      <c r="H7" s="51">
        <f>SUMIF('Daily Sales Log'!$D:$D,A7,'Daily Sales Log'!$H:$H)</f>
        <v/>
      </c>
      <c r="I7" s="51">
        <f>G7+H7</f>
        <v/>
      </c>
      <c r="J7" s="51">
        <f>C7+F7-I7</f>
        <v/>
      </c>
      <c r="K7" s="51">
        <f>I7*E7</f>
        <v/>
      </c>
      <c r="L7" s="51">
        <f>J7*E7</f>
        <v/>
      </c>
    </row>
    <row r="8">
      <c r="A8" s="49" t="n">
        <v>7</v>
      </c>
      <c r="B8" s="49" t="inlineStr">
        <is>
          <t>Children's Casual Ankle-Length Pants (Navy Blue)</t>
        </is>
      </c>
      <c r="C8" s="51" t="n">
        <v>5</v>
      </c>
      <c r="D8" s="51" t="n">
        <v>23</v>
      </c>
      <c r="E8" s="51" t="n">
        <v>46</v>
      </c>
      <c r="F8" s="51" t="n">
        <v>0</v>
      </c>
      <c r="G8" s="51">
        <f>SUMIF('Daily Sales Log'!$D:$D,A8,'Daily Sales Log'!$G:$G)</f>
        <v/>
      </c>
      <c r="H8" s="51">
        <f>SUMIF('Daily Sales Log'!$D:$D,A8,'Daily Sales Log'!$H:$H)</f>
        <v/>
      </c>
      <c r="I8" s="51">
        <f>G8+H8</f>
        <v/>
      </c>
      <c r="J8" s="51">
        <f>C8+F8-I8</f>
        <v/>
      </c>
      <c r="K8" s="51">
        <f>I8*E8</f>
        <v/>
      </c>
      <c r="L8" s="51">
        <f>J8*E8</f>
        <v/>
      </c>
    </row>
    <row r="9">
      <c r="A9" s="49" t="n">
        <v>8</v>
      </c>
      <c r="B9" s="49" t="inlineStr">
        <is>
          <t>Children's Casual Cargo Trousers</t>
        </is>
      </c>
      <c r="C9" s="51" t="n">
        <v>5</v>
      </c>
      <c r="D9" s="51" t="n">
        <v>30</v>
      </c>
      <c r="E9" s="51" t="n">
        <v>60</v>
      </c>
      <c r="F9" s="51" t="n">
        <v>0</v>
      </c>
      <c r="G9" s="51">
        <f>SUMIF('Daily Sales Log'!$D:$D,A9,'Daily Sales Log'!$G:$G)</f>
        <v/>
      </c>
      <c r="H9" s="51">
        <f>SUMIF('Daily Sales Log'!$D:$D,A9,'Daily Sales Log'!$H:$H)</f>
        <v/>
      </c>
      <c r="I9" s="51">
        <f>G9+H9</f>
        <v/>
      </c>
      <c r="J9" s="51">
        <f>C9+F9-I9</f>
        <v/>
      </c>
      <c r="K9" s="51">
        <f>I9*E9</f>
        <v/>
      </c>
      <c r="L9" s="51">
        <f>J9*E9</f>
        <v/>
      </c>
    </row>
    <row r="10">
      <c r="A10" s="49" t="n">
        <v>9</v>
      </c>
      <c r="B10" s="49" t="inlineStr">
        <is>
          <t>Children's Long &amp; Short Sleeve Matching Suits (Red)</t>
        </is>
      </c>
      <c r="C10" s="51" t="n">
        <v>10</v>
      </c>
      <c r="D10" s="51" t="n">
        <v>41</v>
      </c>
      <c r="E10" s="51" t="n">
        <v>82</v>
      </c>
      <c r="F10" s="51" t="n">
        <v>0</v>
      </c>
      <c r="G10" s="51">
        <f>SUMIF('Daily Sales Log'!$D:$D,A10,'Daily Sales Log'!$G:$G)</f>
        <v/>
      </c>
      <c r="H10" s="51">
        <f>SUMIF('Daily Sales Log'!$D:$D,A10,'Daily Sales Log'!$H:$H)</f>
        <v/>
      </c>
      <c r="I10" s="51">
        <f>G10+H10</f>
        <v/>
      </c>
      <c r="J10" s="51">
        <f>C10+F10-I10</f>
        <v/>
      </c>
      <c r="K10" s="51">
        <f>I10*E10</f>
        <v/>
      </c>
      <c r="L10" s="51">
        <f>J10*E10</f>
        <v/>
      </c>
    </row>
    <row r="11">
      <c r="A11" s="49" t="n">
        <v>10</v>
      </c>
      <c r="B11" s="49" t="inlineStr">
        <is>
          <t>Children's 2-Piece T-Shirt &amp; Shorts Suits (Light Green)</t>
        </is>
      </c>
      <c r="C11" s="51" t="n">
        <v>5</v>
      </c>
      <c r="D11" s="51" t="n">
        <v>35</v>
      </c>
      <c r="E11" s="51" t="n">
        <v>70</v>
      </c>
      <c r="F11" s="51" t="n">
        <v>0</v>
      </c>
      <c r="G11" s="51">
        <f>SUMIF('Daily Sales Log'!$D:$D,A11,'Daily Sales Log'!$G:$G)</f>
        <v/>
      </c>
      <c r="H11" s="51">
        <f>SUMIF('Daily Sales Log'!$D:$D,A11,'Daily Sales Log'!$H:$H)</f>
        <v/>
      </c>
      <c r="I11" s="51">
        <f>G11+H11</f>
        <v/>
      </c>
      <c r="J11" s="51">
        <f>C11+F11-I11</f>
        <v/>
      </c>
      <c r="K11" s="51">
        <f>I11*E11</f>
        <v/>
      </c>
      <c r="L11" s="51">
        <f>J11*E11</f>
        <v/>
      </c>
    </row>
    <row r="12">
      <c r="A12" s="49" t="n">
        <v>11</v>
      </c>
      <c r="B12" s="49" t="inlineStr">
        <is>
          <t>Ladies' Woven Sweaters</t>
        </is>
      </c>
      <c r="C12" s="51" t="n">
        <v>50</v>
      </c>
      <c r="D12" s="51" t="n">
        <v>30</v>
      </c>
      <c r="E12" s="51" t="n">
        <v>60</v>
      </c>
      <c r="F12" s="51" t="n">
        <v>0</v>
      </c>
      <c r="G12" s="51">
        <f>SUMIF('Daily Sales Log'!$D:$D,A12,'Daily Sales Log'!$G:$G)</f>
        <v/>
      </c>
      <c r="H12" s="51">
        <f>SUMIF('Daily Sales Log'!$D:$D,A12,'Daily Sales Log'!$H:$H)</f>
        <v/>
      </c>
      <c r="I12" s="51">
        <f>G12+H12</f>
        <v/>
      </c>
      <c r="J12" s="51">
        <f>C12+F12-I12</f>
        <v/>
      </c>
      <c r="K12" s="51">
        <f>I12*E12</f>
        <v/>
      </c>
      <c r="L12" s="51">
        <f>J12*E12</f>
        <v/>
      </c>
    </row>
    <row r="13">
      <c r="A13" s="49" t="n">
        <v>12</v>
      </c>
      <c r="B13" s="49" t="inlineStr">
        <is>
          <t>Ladies' Denim Dresses</t>
        </is>
      </c>
      <c r="C13" s="51" t="n">
        <v>20</v>
      </c>
      <c r="D13" s="51" t="n">
        <v>42</v>
      </c>
      <c r="E13" s="51" t="n">
        <v>84</v>
      </c>
      <c r="F13" s="51" t="n">
        <v>0</v>
      </c>
      <c r="G13" s="51">
        <f>SUMIF('Daily Sales Log'!$D:$D,A13,'Daily Sales Log'!$G:$G)</f>
        <v/>
      </c>
      <c r="H13" s="51">
        <f>SUMIF('Daily Sales Log'!$D:$D,A13,'Daily Sales Log'!$H:$H)</f>
        <v/>
      </c>
      <c r="I13" s="51">
        <f>G13+H13</f>
        <v/>
      </c>
      <c r="J13" s="51">
        <f>C13+F13-I13</f>
        <v/>
      </c>
      <c r="K13" s="51">
        <f>I13*E13</f>
        <v/>
      </c>
      <c r="L13" s="51">
        <f>J13*E13</f>
        <v/>
      </c>
    </row>
    <row r="14">
      <c r="A14" s="49" t="n">
        <v>13</v>
      </c>
      <c r="B14" s="49" t="inlineStr">
        <is>
          <t>Men's Woven Sweaters (Style 19309)</t>
        </is>
      </c>
      <c r="C14" s="51" t="n">
        <v>12</v>
      </c>
      <c r="D14" s="51" t="n">
        <v>35</v>
      </c>
      <c r="E14" s="51" t="n">
        <v>70</v>
      </c>
      <c r="F14" s="51" t="n">
        <v>0</v>
      </c>
      <c r="G14" s="51">
        <f>SUMIF('Daily Sales Log'!$D:$D,A14,'Daily Sales Log'!$G:$G)</f>
        <v/>
      </c>
      <c r="H14" s="51">
        <f>SUMIF('Daily Sales Log'!$D:$D,A14,'Daily Sales Log'!$H:$H)</f>
        <v/>
      </c>
      <c r="I14" s="51">
        <f>G14+H14</f>
        <v/>
      </c>
      <c r="J14" s="51">
        <f>C14+F14-I14</f>
        <v/>
      </c>
      <c r="K14" s="51">
        <f>I14*E14</f>
        <v/>
      </c>
      <c r="L14" s="51">
        <f>J14*E14</f>
        <v/>
      </c>
    </row>
    <row r="15">
      <c r="A15" s="49" t="n">
        <v>14</v>
      </c>
      <c r="B15" s="49" t="inlineStr">
        <is>
          <t>Men's Woven Sweaters (Style 8102)</t>
        </is>
      </c>
      <c r="C15" s="51" t="n">
        <v>12</v>
      </c>
      <c r="D15" s="51" t="n">
        <v>30</v>
      </c>
      <c r="E15" s="51" t="n">
        <v>60</v>
      </c>
      <c r="F15" s="51" t="n">
        <v>0</v>
      </c>
      <c r="G15" s="51">
        <f>SUMIF('Daily Sales Log'!$D:$D,A15,'Daily Sales Log'!$G:$G)</f>
        <v/>
      </c>
      <c r="H15" s="51">
        <f>SUMIF('Daily Sales Log'!$D:$D,A15,'Daily Sales Log'!$H:$H)</f>
        <v/>
      </c>
      <c r="I15" s="51">
        <f>G15+H15</f>
        <v/>
      </c>
      <c r="J15" s="51">
        <f>C15+F15-I15</f>
        <v/>
      </c>
      <c r="K15" s="51">
        <f>I15*E15</f>
        <v/>
      </c>
      <c r="L15" s="51">
        <f>J15*E15</f>
        <v/>
      </c>
    </row>
    <row r="16">
      <c r="A16" s="49" t="n">
        <v>15</v>
      </c>
      <c r="B16" s="49" t="inlineStr">
        <is>
          <t>Commercial Stationery Writing Pens</t>
        </is>
      </c>
      <c r="C16" s="51" t="n">
        <v>88</v>
      </c>
      <c r="D16" s="51" t="n">
        <v>3.5</v>
      </c>
      <c r="E16" s="51" t="n">
        <v>7</v>
      </c>
      <c r="F16" s="51" t="n">
        <v>0</v>
      </c>
      <c r="G16" s="51">
        <f>SUMIF('Daily Sales Log'!$D:$D,A16,'Daily Sales Log'!$G:$G)</f>
        <v/>
      </c>
      <c r="H16" s="51">
        <f>SUMIF('Daily Sales Log'!$D:$D,A16,'Daily Sales Log'!$H:$H)</f>
        <v/>
      </c>
      <c r="I16" s="51">
        <f>G16+H16</f>
        <v/>
      </c>
      <c r="J16" s="51">
        <f>C16+F16-I16</f>
        <v/>
      </c>
      <c r="K16" s="51">
        <f>I16*E16</f>
        <v/>
      </c>
      <c r="L16" s="51">
        <f>J16*E16</f>
        <v/>
      </c>
    </row>
    <row r="17">
      <c r="A17" s="49" t="n">
        <v>16</v>
      </c>
      <c r="B17" s="49" t="inlineStr">
        <is>
          <t>Ladies' Fashion Dresses</t>
        </is>
      </c>
      <c r="C17" s="51" t="n">
        <v>83</v>
      </c>
      <c r="D17" s="51" t="n">
        <v>11.51</v>
      </c>
      <c r="E17" s="51" t="n">
        <v>23.02</v>
      </c>
      <c r="F17" s="51" t="n">
        <v>0</v>
      </c>
      <c r="G17" s="51">
        <f>SUMIF('Daily Sales Log'!$D:$D,A17,'Daily Sales Log'!$G:$G)</f>
        <v/>
      </c>
      <c r="H17" s="51">
        <f>SUMIF('Daily Sales Log'!$D:$D,A17,'Daily Sales Log'!$H:$H)</f>
        <v/>
      </c>
      <c r="I17" s="51">
        <f>G17+H17</f>
        <v/>
      </c>
      <c r="J17" s="51">
        <f>C17+F17-I17</f>
        <v/>
      </c>
      <c r="K17" s="51">
        <f>I17*E17</f>
        <v/>
      </c>
      <c r="L17" s="51">
        <f>J17*E17</f>
        <v/>
      </c>
    </row>
    <row r="18">
      <c r="A18" s="49" t="n">
        <v>17</v>
      </c>
      <c r="B18" s="49" t="inlineStr">
        <is>
          <t>Ladies' Long Dresses</t>
        </is>
      </c>
      <c r="C18" s="51" t="n">
        <v>24</v>
      </c>
      <c r="D18" s="51" t="n">
        <v>25</v>
      </c>
      <c r="E18" s="51" t="n">
        <v>50</v>
      </c>
      <c r="F18" s="51" t="n">
        <v>0</v>
      </c>
      <c r="G18" s="51">
        <f>SUMIF('Daily Sales Log'!$D:$D,A18,'Daily Sales Log'!$G:$G)</f>
        <v/>
      </c>
      <c r="H18" s="51">
        <f>SUMIF('Daily Sales Log'!$D:$D,A18,'Daily Sales Log'!$H:$H)</f>
        <v/>
      </c>
      <c r="I18" s="51">
        <f>G18+H18</f>
        <v/>
      </c>
      <c r="J18" s="51">
        <f>C18+F18-I18</f>
        <v/>
      </c>
      <c r="K18" s="51">
        <f>I18*E18</f>
        <v/>
      </c>
      <c r="L18" s="51">
        <f>J18*E18</f>
        <v/>
      </c>
    </row>
    <row r="19">
      <c r="A19" s="49" t="n">
        <v>18</v>
      </c>
      <c r="B19" s="49" t="inlineStr">
        <is>
          <t>Ladies' Black Dresses</t>
        </is>
      </c>
      <c r="C19" s="51" t="n">
        <v>10</v>
      </c>
      <c r="D19" s="51" t="n">
        <v>45</v>
      </c>
      <c r="E19" s="51" t="n">
        <v>90</v>
      </c>
      <c r="F19" s="51" t="n">
        <v>0</v>
      </c>
      <c r="G19" s="51">
        <f>SUMIF('Daily Sales Log'!$D:$D,A19,'Daily Sales Log'!$G:$G)</f>
        <v/>
      </c>
      <c r="H19" s="51">
        <f>SUMIF('Daily Sales Log'!$D:$D,A19,'Daily Sales Log'!$H:$H)</f>
        <v/>
      </c>
      <c r="I19" s="51">
        <f>G19+H19</f>
        <v/>
      </c>
      <c r="J19" s="51">
        <f>C19+F19-I19</f>
        <v/>
      </c>
      <c r="K19" s="51">
        <f>I19*E19</f>
        <v/>
      </c>
      <c r="L19" s="51">
        <f>J19*E19</f>
        <v/>
      </c>
    </row>
    <row r="20">
      <c r="A20" s="49" t="n">
        <v>19</v>
      </c>
      <c r="B20" s="49" t="inlineStr">
        <is>
          <t>Ladies' 2-Piece Suits (Brown)</t>
        </is>
      </c>
      <c r="C20" s="51" t="n">
        <v>1</v>
      </c>
      <c r="D20" s="51" t="n">
        <v>40</v>
      </c>
      <c r="E20" s="51" t="n">
        <v>80</v>
      </c>
      <c r="F20" s="51" t="n">
        <v>0</v>
      </c>
      <c r="G20" s="51">
        <f>SUMIF('Daily Sales Log'!$D:$D,A20,'Daily Sales Log'!$G:$G)</f>
        <v/>
      </c>
      <c r="H20" s="51">
        <f>SUMIF('Daily Sales Log'!$D:$D,A20,'Daily Sales Log'!$H:$H)</f>
        <v/>
      </c>
      <c r="I20" s="51">
        <f>G20+H20</f>
        <v/>
      </c>
      <c r="J20" s="51">
        <f>C20+F20-I20</f>
        <v/>
      </c>
      <c r="K20" s="51">
        <f>I20*E20</f>
        <v/>
      </c>
      <c r="L20" s="51">
        <f>J20*E20</f>
        <v/>
      </c>
    </row>
    <row r="21">
      <c r="A21" s="49" t="n">
        <v>20</v>
      </c>
      <c r="B21" s="49" t="inlineStr">
        <is>
          <t>Fashion Jackets (Maroon)</t>
        </is>
      </c>
      <c r="C21" s="51" t="n">
        <v>10</v>
      </c>
      <c r="D21" s="51" t="n">
        <v>45</v>
      </c>
      <c r="E21" s="51" t="n">
        <v>90</v>
      </c>
      <c r="F21" s="51" t="n">
        <v>0</v>
      </c>
      <c r="G21" s="51">
        <f>SUMIF('Daily Sales Log'!$D:$D,A21,'Daily Sales Log'!$G:$G)</f>
        <v/>
      </c>
      <c r="H21" s="51">
        <f>SUMIF('Daily Sales Log'!$D:$D,A21,'Daily Sales Log'!$H:$H)</f>
        <v/>
      </c>
      <c r="I21" s="51">
        <f>G21+H21</f>
        <v/>
      </c>
      <c r="J21" s="51">
        <f>C21+F21-I21</f>
        <v/>
      </c>
      <c r="K21" s="51">
        <f>I21*E21</f>
        <v/>
      </c>
      <c r="L21" s="51">
        <f>J21*E21</f>
        <v/>
      </c>
    </row>
    <row r="22">
      <c r="A22" s="49" t="n">
        <v>21</v>
      </c>
      <c r="B22" s="49" t="inlineStr">
        <is>
          <t>Fashion Jackets (Blue)</t>
        </is>
      </c>
      <c r="C22" s="51" t="n">
        <v>10</v>
      </c>
      <c r="D22" s="51" t="n">
        <v>45</v>
      </c>
      <c r="E22" s="51" t="n">
        <v>90</v>
      </c>
      <c r="F22" s="51" t="n">
        <v>0</v>
      </c>
      <c r="G22" s="51">
        <f>SUMIF('Daily Sales Log'!$D:$D,A22,'Daily Sales Log'!$G:$G)</f>
        <v/>
      </c>
      <c r="H22" s="51">
        <f>SUMIF('Daily Sales Log'!$D:$D,A22,'Daily Sales Log'!$H:$H)</f>
        <v/>
      </c>
      <c r="I22" s="51">
        <f>G22+H22</f>
        <v/>
      </c>
      <c r="J22" s="51">
        <f>C22+F22-I22</f>
        <v/>
      </c>
      <c r="K22" s="51">
        <f>I22*E22</f>
        <v/>
      </c>
      <c r="L22" s="51">
        <f>J22*E22</f>
        <v/>
      </c>
    </row>
    <row r="23">
      <c r="A23" s="49" t="n">
        <v>22</v>
      </c>
      <c r="B23" s="49" t="inlineStr">
        <is>
          <t>Ladies' Knitted Scarves (Style A)</t>
        </is>
      </c>
      <c r="C23" s="51" t="n">
        <v>20</v>
      </c>
      <c r="D23" s="51" t="n">
        <v>17</v>
      </c>
      <c r="E23" s="51" t="n">
        <v>34</v>
      </c>
      <c r="F23" s="51" t="n">
        <v>0</v>
      </c>
      <c r="G23" s="51">
        <f>SUMIF('Daily Sales Log'!$D:$D,A23,'Daily Sales Log'!$G:$G)</f>
        <v/>
      </c>
      <c r="H23" s="51">
        <f>SUMIF('Daily Sales Log'!$D:$D,A23,'Daily Sales Log'!$H:$H)</f>
        <v/>
      </c>
      <c r="I23" s="51">
        <f>G23+H23</f>
        <v/>
      </c>
      <c r="J23" s="51">
        <f>C23+F23-I23</f>
        <v/>
      </c>
      <c r="K23" s="51">
        <f>I23*E23</f>
        <v/>
      </c>
      <c r="L23" s="51">
        <f>J23*E23</f>
        <v/>
      </c>
    </row>
    <row r="24">
      <c r="A24" s="49" t="n">
        <v>23</v>
      </c>
      <c r="B24" s="49" t="inlineStr">
        <is>
          <t>Ladies' Woven Ponchos / Shawls</t>
        </is>
      </c>
      <c r="C24" s="51" t="n">
        <v>10</v>
      </c>
      <c r="D24" s="51" t="n">
        <v>38</v>
      </c>
      <c r="E24" s="51" t="n">
        <v>76</v>
      </c>
      <c r="F24" s="51" t="n">
        <v>0</v>
      </c>
      <c r="G24" s="51">
        <f>SUMIF('Daily Sales Log'!$D:$D,A24,'Daily Sales Log'!$G:$G)</f>
        <v/>
      </c>
      <c r="H24" s="51">
        <f>SUMIF('Daily Sales Log'!$D:$D,A24,'Daily Sales Log'!$H:$H)</f>
        <v/>
      </c>
      <c r="I24" s="51">
        <f>G24+H24</f>
        <v/>
      </c>
      <c r="J24" s="51">
        <f>C24+F24-I24</f>
        <v/>
      </c>
      <c r="K24" s="51">
        <f>I24*E24</f>
        <v/>
      </c>
      <c r="L24" s="51">
        <f>J24*E24</f>
        <v/>
      </c>
    </row>
    <row r="25">
      <c r="A25" s="49" t="n">
        <v>24</v>
      </c>
      <c r="B25" s="49" t="inlineStr">
        <is>
          <t>Ladies' Textile Head Wraps</t>
        </is>
      </c>
      <c r="C25" s="51" t="n">
        <v>22</v>
      </c>
      <c r="D25" s="51" t="n">
        <v>5</v>
      </c>
      <c r="E25" s="51" t="n">
        <v>10</v>
      </c>
      <c r="F25" s="51" t="n">
        <v>0</v>
      </c>
      <c r="G25" s="51">
        <f>SUMIF('Daily Sales Log'!$D:$D,A25,'Daily Sales Log'!$G:$G)</f>
        <v/>
      </c>
      <c r="H25" s="51">
        <f>SUMIF('Daily Sales Log'!$D:$D,A25,'Daily Sales Log'!$H:$H)</f>
        <v/>
      </c>
      <c r="I25" s="51">
        <f>G25+H25</f>
        <v/>
      </c>
      <c r="J25" s="51">
        <f>C25+F25-I25</f>
        <v/>
      </c>
      <c r="K25" s="51">
        <f>I25*E25</f>
        <v/>
      </c>
      <c r="L25" s="51">
        <f>J25*E25</f>
        <v/>
      </c>
    </row>
    <row r="26">
      <c r="A26" s="49" t="n">
        <v>25</v>
      </c>
      <c r="B26" s="49" t="inlineStr">
        <is>
          <t>Ladies' Sleeveless Ponchos / Capes</t>
        </is>
      </c>
      <c r="C26" s="51" t="n">
        <v>10</v>
      </c>
      <c r="D26" s="51" t="n">
        <v>26</v>
      </c>
      <c r="E26" s="51" t="n">
        <v>52</v>
      </c>
      <c r="F26" s="51" t="n">
        <v>0</v>
      </c>
      <c r="G26" s="51">
        <f>SUMIF('Daily Sales Log'!$D:$D,A26,'Daily Sales Log'!$G:$G)</f>
        <v/>
      </c>
      <c r="H26" s="51">
        <f>SUMIF('Daily Sales Log'!$D:$D,A26,'Daily Sales Log'!$H:$H)</f>
        <v/>
      </c>
      <c r="I26" s="51">
        <f>G26+H26</f>
        <v/>
      </c>
      <c r="J26" s="51">
        <f>C26+F26-I26</f>
        <v/>
      </c>
      <c r="K26" s="51">
        <f>I26*E26</f>
        <v/>
      </c>
      <c r="L26" s="51">
        <f>J26*E26</f>
        <v/>
      </c>
    </row>
    <row r="27">
      <c r="A27" s="49" t="n">
        <v>26</v>
      </c>
      <c r="B27" s="49" t="inlineStr">
        <is>
          <t>Ladies' Lightweight Scarves (Style B)</t>
        </is>
      </c>
      <c r="C27" s="51" t="n">
        <v>20</v>
      </c>
      <c r="D27" s="51" t="n">
        <v>10</v>
      </c>
      <c r="E27" s="51" t="n">
        <v>20</v>
      </c>
      <c r="F27" s="51" t="n">
        <v>0</v>
      </c>
      <c r="G27" s="51">
        <f>SUMIF('Daily Sales Log'!$D:$D,A27,'Daily Sales Log'!$G:$G)</f>
        <v/>
      </c>
      <c r="H27" s="51">
        <f>SUMIF('Daily Sales Log'!$D:$D,A27,'Daily Sales Log'!$H:$H)</f>
        <v/>
      </c>
      <c r="I27" s="51">
        <f>G27+H27</f>
        <v/>
      </c>
      <c r="J27" s="51">
        <f>C27+F27-I27</f>
        <v/>
      </c>
      <c r="K27" s="51">
        <f>I27*E27</f>
        <v/>
      </c>
      <c r="L27" s="51">
        <f>J27*E27</f>
        <v/>
      </c>
    </row>
    <row r="28">
      <c r="A28" s="49" t="n">
        <v>27</v>
      </c>
      <c r="B28" s="49" t="inlineStr">
        <is>
          <t>Ladies' Fashion Dresses (Green &amp; Black)</t>
        </is>
      </c>
      <c r="C28" s="51" t="n">
        <v>10</v>
      </c>
      <c r="D28" s="51" t="n">
        <v>45</v>
      </c>
      <c r="E28" s="51" t="n">
        <v>90</v>
      </c>
      <c r="F28" s="51" t="n">
        <v>0</v>
      </c>
      <c r="G28" s="51">
        <f>SUMIF('Daily Sales Log'!$D:$D,A28,'Daily Sales Log'!$G:$G)</f>
        <v/>
      </c>
      <c r="H28" s="51">
        <f>SUMIF('Daily Sales Log'!$D:$D,A28,'Daily Sales Log'!$H:$H)</f>
        <v/>
      </c>
      <c r="I28" s="51">
        <f>G28+H28</f>
        <v/>
      </c>
      <c r="J28" s="51">
        <f>C28+F28-I28</f>
        <v/>
      </c>
      <c r="K28" s="51">
        <f>I28*E28</f>
        <v/>
      </c>
      <c r="L28" s="51">
        <f>J28*E28</f>
        <v/>
      </c>
    </row>
    <row r="29">
      <c r="A29" s="49" t="n">
        <v>28</v>
      </c>
      <c r="B29" s="49" t="inlineStr">
        <is>
          <t>Ladies' Denim Dresses</t>
        </is>
      </c>
      <c r="C29" s="51" t="n">
        <v>10</v>
      </c>
      <c r="D29" s="51" t="n">
        <v>45</v>
      </c>
      <c r="E29" s="51" t="n">
        <v>90</v>
      </c>
      <c r="F29" s="51" t="n">
        <v>0</v>
      </c>
      <c r="G29" s="51">
        <f>SUMIF('Daily Sales Log'!$D:$D,A29,'Daily Sales Log'!$G:$G)</f>
        <v/>
      </c>
      <c r="H29" s="51">
        <f>SUMIF('Daily Sales Log'!$D:$D,A29,'Daily Sales Log'!$H:$H)</f>
        <v/>
      </c>
      <c r="I29" s="51">
        <f>G29+H29</f>
        <v/>
      </c>
      <c r="J29" s="51">
        <f>C29+F29-I29</f>
        <v/>
      </c>
      <c r="K29" s="51">
        <f>I29*E29</f>
        <v/>
      </c>
      <c r="L29" s="51">
        <f>J29*E29</f>
        <v/>
      </c>
    </row>
    <row r="30">
      <c r="A30" s="49" t="n">
        <v>29</v>
      </c>
      <c r="B30" s="49" t="inlineStr">
        <is>
          <t>Ladies' Small Pouch Bags</t>
        </is>
      </c>
      <c r="C30" s="51" t="n">
        <v>8</v>
      </c>
      <c r="D30" s="51" t="n">
        <v>25</v>
      </c>
      <c r="E30" s="51" t="n">
        <v>50</v>
      </c>
      <c r="F30" s="51" t="n">
        <v>0</v>
      </c>
      <c r="G30" s="51">
        <f>SUMIF('Daily Sales Log'!$D:$D,A30,'Daily Sales Log'!$G:$G)</f>
        <v/>
      </c>
      <c r="H30" s="51">
        <f>SUMIF('Daily Sales Log'!$D:$D,A30,'Daily Sales Log'!$H:$H)</f>
        <v/>
      </c>
      <c r="I30" s="51">
        <f>G30+H30</f>
        <v/>
      </c>
      <c r="J30" s="51">
        <f>C30+F30-I30</f>
        <v/>
      </c>
      <c r="K30" s="51">
        <f>I30*E30</f>
        <v/>
      </c>
      <c r="L30" s="51">
        <f>J30*E30</f>
        <v/>
      </c>
    </row>
    <row r="31">
      <c r="A31" s="49" t="n">
        <v>30</v>
      </c>
      <c r="B31" s="49" t="inlineStr">
        <is>
          <t>Casual Sports Shoes / Takkies</t>
        </is>
      </c>
      <c r="C31" s="51" t="n">
        <v>11</v>
      </c>
      <c r="D31" s="51" t="n">
        <v>55</v>
      </c>
      <c r="E31" s="51" t="n">
        <v>110</v>
      </c>
      <c r="F31" s="51" t="n">
        <v>0</v>
      </c>
      <c r="G31" s="51">
        <f>SUMIF('Daily Sales Log'!$D:$D,A31,'Daily Sales Log'!$G:$G)</f>
        <v/>
      </c>
      <c r="H31" s="51">
        <f>SUMIF('Daily Sales Log'!$D:$D,A31,'Daily Sales Log'!$H:$H)</f>
        <v/>
      </c>
      <c r="I31" s="51">
        <f>G31+H31</f>
        <v/>
      </c>
      <c r="J31" s="51">
        <f>C31+F31-I31</f>
        <v/>
      </c>
      <c r="K31" s="51">
        <f>I31*E31</f>
        <v/>
      </c>
      <c r="L31" s="51">
        <f>J31*E31</f>
        <v/>
      </c>
    </row>
    <row r="32">
      <c r="A32" s="49" t="n">
        <v>31</v>
      </c>
      <c r="B32" s="49" t="inlineStr">
        <is>
          <t>Smart Audio Eyewear (Bluetooth Glasses)</t>
        </is>
      </c>
      <c r="C32" s="51" t="n">
        <v>27</v>
      </c>
      <c r="D32" s="51" t="n">
        <v>50</v>
      </c>
      <c r="E32" s="51" t="n">
        <v>100</v>
      </c>
      <c r="F32" s="51" t="n">
        <v>0</v>
      </c>
      <c r="G32" s="51">
        <f>SUMIF('Daily Sales Log'!$D:$D,A32,'Daily Sales Log'!$G:$G)</f>
        <v/>
      </c>
      <c r="H32" s="51">
        <f>SUMIF('Daily Sales Log'!$D:$D,A32,'Daily Sales Log'!$H:$H)</f>
        <v/>
      </c>
      <c r="I32" s="51">
        <f>G32+H32</f>
        <v/>
      </c>
      <c r="J32" s="51">
        <f>C32+F32-I32</f>
        <v/>
      </c>
      <c r="K32" s="51">
        <f>I32*E32</f>
        <v/>
      </c>
      <c r="L32" s="51">
        <f>J32*E32</f>
        <v/>
      </c>
    </row>
    <row r="33">
      <c r="A33" s="49" t="n">
        <v>32</v>
      </c>
      <c r="B33" s="49" t="inlineStr">
        <is>
          <t>Dual-Function USB Wall Power Adapters (Phone Charger)</t>
        </is>
      </c>
      <c r="C33" s="51" t="n">
        <v>100</v>
      </c>
      <c r="D33" s="51" t="n">
        <v>6</v>
      </c>
      <c r="E33" s="51" t="n">
        <v>12</v>
      </c>
      <c r="F33" s="51" t="n">
        <v>0</v>
      </c>
      <c r="G33" s="51">
        <f>SUMIF('Daily Sales Log'!$D:$D,A33,'Daily Sales Log'!$G:$G)</f>
        <v/>
      </c>
      <c r="H33" s="51">
        <f>SUMIF('Daily Sales Log'!$D:$D,A33,'Daily Sales Log'!$H:$H)</f>
        <v/>
      </c>
      <c r="I33" s="51">
        <f>G33+H33</f>
        <v/>
      </c>
      <c r="J33" s="51">
        <f>C33+F33-I33</f>
        <v/>
      </c>
      <c r="K33" s="51">
        <f>I33*E33</f>
        <v/>
      </c>
      <c r="L33" s="51">
        <f>J33*E33</f>
        <v/>
      </c>
    </row>
    <row r="34">
      <c r="A34" s="49" t="n">
        <v>33</v>
      </c>
      <c r="B34" s="49" t="inlineStr">
        <is>
          <t>Ladies' Fashion T-Shirts (Type A)</t>
        </is>
      </c>
      <c r="C34" s="51" t="n">
        <v>5</v>
      </c>
      <c r="D34" s="51" t="n">
        <v>52</v>
      </c>
      <c r="E34" s="51" t="n">
        <v>104</v>
      </c>
      <c r="F34" s="51" t="n">
        <v>0</v>
      </c>
      <c r="G34" s="51">
        <f>SUMIF('Daily Sales Log'!$D:$D,A34,'Daily Sales Log'!$G:$G)</f>
        <v/>
      </c>
      <c r="H34" s="51">
        <f>SUMIF('Daily Sales Log'!$D:$D,A34,'Daily Sales Log'!$H:$H)</f>
        <v/>
      </c>
      <c r="I34" s="51">
        <f>G34+H34</f>
        <v/>
      </c>
      <c r="J34" s="51">
        <f>C34+F34-I34</f>
        <v/>
      </c>
      <c r="K34" s="51">
        <f>I34*E34</f>
        <v/>
      </c>
      <c r="L34" s="51">
        <f>J34*E34</f>
        <v/>
      </c>
    </row>
    <row r="35">
      <c r="A35" s="49" t="n">
        <v>34</v>
      </c>
      <c r="B35" s="49" t="inlineStr">
        <is>
          <t>Ladies' Fashion T-Shirts (Type B)</t>
        </is>
      </c>
      <c r="C35" s="51" t="n">
        <v>5</v>
      </c>
      <c r="D35" s="51" t="n">
        <v>46</v>
      </c>
      <c r="E35" s="51" t="n">
        <v>92</v>
      </c>
      <c r="F35" s="51" t="n">
        <v>0</v>
      </c>
      <c r="G35" s="51">
        <f>SUMIF('Daily Sales Log'!$D:$D,A35,'Daily Sales Log'!$G:$G)</f>
        <v/>
      </c>
      <c r="H35" s="51">
        <f>SUMIF('Daily Sales Log'!$D:$D,A35,'Daily Sales Log'!$H:$H)</f>
        <v/>
      </c>
      <c r="I35" s="51">
        <f>G35+H35</f>
        <v/>
      </c>
      <c r="J35" s="51">
        <f>C35+F35-I35</f>
        <v/>
      </c>
      <c r="K35" s="51">
        <f>I35*E35</f>
        <v/>
      </c>
      <c r="L35" s="51">
        <f>J35*E35</f>
        <v/>
      </c>
    </row>
    <row r="36">
      <c r="A36" s="49" t="n">
        <v>35</v>
      </c>
      <c r="B36" s="49" t="inlineStr">
        <is>
          <t>Ladies' Fashion Cargo Dresses (Style A)</t>
        </is>
      </c>
      <c r="C36" s="51" t="n">
        <v>5</v>
      </c>
      <c r="D36" s="51" t="n">
        <v>110</v>
      </c>
      <c r="E36" s="51" t="n">
        <v>220</v>
      </c>
      <c r="F36" s="51" t="n">
        <v>0</v>
      </c>
      <c r="G36" s="51">
        <f>SUMIF('Daily Sales Log'!$D:$D,A36,'Daily Sales Log'!$G:$G)</f>
        <v/>
      </c>
      <c r="H36" s="51">
        <f>SUMIF('Daily Sales Log'!$D:$D,A36,'Daily Sales Log'!$H:$H)</f>
        <v/>
      </c>
      <c r="I36" s="51">
        <f>G36+H36</f>
        <v/>
      </c>
      <c r="J36" s="51">
        <f>C36+F36-I36</f>
        <v/>
      </c>
      <c r="K36" s="51">
        <f>I36*E36</f>
        <v/>
      </c>
      <c r="L36" s="51">
        <f>J36*E36</f>
        <v/>
      </c>
    </row>
    <row r="37">
      <c r="A37" s="49" t="n">
        <v>36</v>
      </c>
      <c r="B37" s="49" t="inlineStr">
        <is>
          <t>Ladies' Fashion Cargo Dresses (Style B)</t>
        </is>
      </c>
      <c r="C37" s="51" t="n">
        <v>5</v>
      </c>
      <c r="D37" s="51" t="n">
        <v>120</v>
      </c>
      <c r="E37" s="51" t="n">
        <v>240</v>
      </c>
      <c r="F37" s="51" t="n">
        <v>0</v>
      </c>
      <c r="G37" s="51">
        <f>SUMIF('Daily Sales Log'!$D:$D,A37,'Daily Sales Log'!$G:$G)</f>
        <v/>
      </c>
      <c r="H37" s="51">
        <f>SUMIF('Daily Sales Log'!$D:$D,A37,'Daily Sales Log'!$H:$H)</f>
        <v/>
      </c>
      <c r="I37" s="51">
        <f>G37+H37</f>
        <v/>
      </c>
      <c r="J37" s="51">
        <f>C37+F37-I37</f>
        <v/>
      </c>
      <c r="K37" s="51">
        <f>I37*E37</f>
        <v/>
      </c>
      <c r="L37" s="51">
        <f>J37*E37</f>
        <v/>
      </c>
    </row>
    <row r="38">
      <c r="A38" s="49" t="n">
        <v>37</v>
      </c>
      <c r="B38" s="49" t="inlineStr">
        <is>
          <t>Knitted Sweaters</t>
        </is>
      </c>
      <c r="C38" s="51" t="n">
        <v>81</v>
      </c>
      <c r="D38" s="51" t="n">
        <v>37</v>
      </c>
      <c r="E38" s="51" t="n">
        <v>74</v>
      </c>
      <c r="F38" s="51" t="n">
        <v>0</v>
      </c>
      <c r="G38" s="51">
        <f>SUMIF('Daily Sales Log'!$D:$D,A38,'Daily Sales Log'!$G:$G)</f>
        <v/>
      </c>
      <c r="H38" s="51">
        <f>SUMIF('Daily Sales Log'!$D:$D,A38,'Daily Sales Log'!$H:$H)</f>
        <v/>
      </c>
      <c r="I38" s="51">
        <f>G38+H38</f>
        <v/>
      </c>
      <c r="J38" s="51">
        <f>C38+F38-I38</f>
        <v/>
      </c>
      <c r="K38" s="51">
        <f>I38*E38</f>
        <v/>
      </c>
      <c r="L38" s="51">
        <f>J38*E38</f>
        <v/>
      </c>
    </row>
    <row r="39">
      <c r="A39" s="49" t="n">
        <v>38</v>
      </c>
      <c r="B39" s="49" t="inlineStr">
        <is>
          <t>Men's Fashion T-Shirts</t>
        </is>
      </c>
      <c r="C39" s="51" t="n">
        <v>10</v>
      </c>
      <c r="D39" s="51" t="n">
        <v>45</v>
      </c>
      <c r="E39" s="51" t="n">
        <v>90</v>
      </c>
      <c r="F39" s="51" t="n">
        <v>0</v>
      </c>
      <c r="G39" s="51">
        <f>SUMIF('Daily Sales Log'!$D:$D,A39,'Daily Sales Log'!$G:$G)</f>
        <v/>
      </c>
      <c r="H39" s="51">
        <f>SUMIF('Daily Sales Log'!$D:$D,A39,'Daily Sales Log'!$H:$H)</f>
        <v/>
      </c>
      <c r="I39" s="51">
        <f>G39+H39</f>
        <v/>
      </c>
      <c r="J39" s="51">
        <f>C39+F39-I39</f>
        <v/>
      </c>
      <c r="K39" s="51">
        <f>I39*E39</f>
        <v/>
      </c>
      <c r="L39" s="51">
        <f>J39*E39</f>
        <v/>
      </c>
    </row>
    <row r="40">
      <c r="A40" s="49" t="n">
        <v>39</v>
      </c>
      <c r="B40" s="49" t="inlineStr">
        <is>
          <t>Ladies' Fashion Skirts</t>
        </is>
      </c>
      <c r="C40" s="51" t="n">
        <v>10</v>
      </c>
      <c r="D40" s="51" t="n">
        <v>38</v>
      </c>
      <c r="E40" s="51" t="n">
        <v>76</v>
      </c>
      <c r="F40" s="51" t="n">
        <v>0</v>
      </c>
      <c r="G40" s="51">
        <f>SUMIF('Daily Sales Log'!$D:$D,A40,'Daily Sales Log'!$G:$G)</f>
        <v/>
      </c>
      <c r="H40" s="51">
        <f>SUMIF('Daily Sales Log'!$D:$D,A40,'Daily Sales Log'!$H:$H)</f>
        <v/>
      </c>
      <c r="I40" s="51">
        <f>G40+H40</f>
        <v/>
      </c>
      <c r="J40" s="51">
        <f>C40+F40-I40</f>
        <v/>
      </c>
      <c r="K40" s="51">
        <f>I40*E40</f>
        <v/>
      </c>
      <c r="L40" s="51">
        <f>J40*E40</f>
        <v/>
      </c>
    </row>
    <row r="41">
      <c r="A41" s="49" t="n">
        <v>40</v>
      </c>
      <c r="B41" s="49" t="inlineStr">
        <is>
          <t>High-Speed USB Data Cables</t>
        </is>
      </c>
      <c r="C41" s="51" t="n">
        <v>100</v>
      </c>
      <c r="D41" s="51" t="n">
        <v>1.5</v>
      </c>
      <c r="E41" s="51" t="n">
        <v>3</v>
      </c>
      <c r="F41" s="51" t="n">
        <v>0</v>
      </c>
      <c r="G41" s="51">
        <f>SUMIF('Daily Sales Log'!$D:$D,A41,'Daily Sales Log'!$G:$G)</f>
        <v/>
      </c>
      <c r="H41" s="51">
        <f>SUMIF('Daily Sales Log'!$D:$D,A41,'Daily Sales Log'!$H:$H)</f>
        <v/>
      </c>
      <c r="I41" s="51">
        <f>G41+H41</f>
        <v/>
      </c>
      <c r="J41" s="51">
        <f>C41+F41-I41</f>
        <v/>
      </c>
      <c r="K41" s="51">
        <f>I41*E41</f>
        <v/>
      </c>
      <c r="L41" s="51">
        <f>J41*E41</f>
        <v/>
      </c>
    </row>
    <row r="42">
      <c r="A42" s="49" t="n">
        <v>41</v>
      </c>
      <c r="B42" s="49" t="inlineStr">
        <is>
          <t>Children's Fashion Dresses (Yellow/Orange)</t>
        </is>
      </c>
      <c r="C42" s="51" t="n">
        <v>4</v>
      </c>
      <c r="D42" s="51" t="n">
        <v>29</v>
      </c>
      <c r="E42" s="51" t="n">
        <v>58</v>
      </c>
      <c r="F42" s="51" t="n">
        <v>0</v>
      </c>
      <c r="G42" s="51">
        <f>SUMIF('Daily Sales Log'!$D:$D,A42,'Daily Sales Log'!$G:$G)</f>
        <v/>
      </c>
      <c r="H42" s="51">
        <f>SUMIF('Daily Sales Log'!$D:$D,A42,'Daily Sales Log'!$H:$H)</f>
        <v/>
      </c>
      <c r="I42" s="51">
        <f>G42+H42</f>
        <v/>
      </c>
      <c r="J42" s="51">
        <f>C42+F42-I42</f>
        <v/>
      </c>
      <c r="K42" s="51">
        <f>I42*E42</f>
        <v/>
      </c>
      <c r="L42" s="51">
        <f>J42*E42</f>
        <v/>
      </c>
    </row>
    <row r="43">
      <c r="A43" s="49" t="n">
        <v>42</v>
      </c>
      <c r="B43" s="49" t="inlineStr">
        <is>
          <t>Ladies' Straight Dresses (Long)</t>
        </is>
      </c>
      <c r="C43" s="51" t="n">
        <v>10</v>
      </c>
      <c r="D43" s="51" t="n">
        <v>28</v>
      </c>
      <c r="E43" s="51" t="n">
        <v>56</v>
      </c>
      <c r="F43" s="51" t="n">
        <v>0</v>
      </c>
      <c r="G43" s="51">
        <f>SUMIF('Daily Sales Log'!$D:$D,A43,'Daily Sales Log'!$G:$G)</f>
        <v/>
      </c>
      <c r="H43" s="51">
        <f>SUMIF('Daily Sales Log'!$D:$D,A43,'Daily Sales Log'!$H:$H)</f>
        <v/>
      </c>
      <c r="I43" s="51">
        <f>G43+H43</f>
        <v/>
      </c>
      <c r="J43" s="51">
        <f>C43+F43-I43</f>
        <v/>
      </c>
      <c r="K43" s="51">
        <f>I43*E43</f>
        <v/>
      </c>
      <c r="L43" s="51">
        <f>J43*E43</f>
        <v/>
      </c>
    </row>
    <row r="44">
      <c r="A44" s="49" t="n">
        <v>43</v>
      </c>
      <c r="B44" s="49" t="inlineStr">
        <is>
          <t>Ladies' Straight Dresses (Short)</t>
        </is>
      </c>
      <c r="C44" s="51" t="n">
        <v>10</v>
      </c>
      <c r="D44" s="51" t="n">
        <v>25</v>
      </c>
      <c r="E44" s="51" t="n">
        <v>50</v>
      </c>
      <c r="F44" s="51" t="n">
        <v>0</v>
      </c>
      <c r="G44" s="51">
        <f>SUMIF('Daily Sales Log'!$D:$D,A44,'Daily Sales Log'!$G:$G)</f>
        <v/>
      </c>
      <c r="H44" s="51">
        <f>SUMIF('Daily Sales Log'!$D:$D,A44,'Daily Sales Log'!$H:$H)</f>
        <v/>
      </c>
      <c r="I44" s="51">
        <f>G44+H44</f>
        <v/>
      </c>
      <c r="J44" s="51">
        <f>C44+F44-I44</f>
        <v/>
      </c>
      <c r="K44" s="51">
        <f>I44*E44</f>
        <v/>
      </c>
      <c r="L44" s="51">
        <f>J44*E44</f>
        <v/>
      </c>
    </row>
    <row r="45">
      <c r="A45" s="49" t="n">
        <v>44</v>
      </c>
      <c r="B45" s="49" t="inlineStr">
        <is>
          <t>Ladies' Colorful Long Dresses (Style A)</t>
        </is>
      </c>
      <c r="C45" s="51" t="n">
        <v>5</v>
      </c>
      <c r="D45" s="51" t="n">
        <v>45</v>
      </c>
      <c r="E45" s="51" t="n">
        <v>90</v>
      </c>
      <c r="F45" s="51" t="n">
        <v>0</v>
      </c>
      <c r="G45" s="51">
        <f>SUMIF('Daily Sales Log'!$D:$D,A45,'Daily Sales Log'!$G:$G)</f>
        <v/>
      </c>
      <c r="H45" s="51">
        <f>SUMIF('Daily Sales Log'!$D:$D,A45,'Daily Sales Log'!$H:$H)</f>
        <v/>
      </c>
      <c r="I45" s="51">
        <f>G45+H45</f>
        <v/>
      </c>
      <c r="J45" s="51">
        <f>C45+F45-I45</f>
        <v/>
      </c>
      <c r="K45" s="51">
        <f>I45*E45</f>
        <v/>
      </c>
      <c r="L45" s="51">
        <f>J45*E45</f>
        <v/>
      </c>
    </row>
    <row r="46">
      <c r="A46" s="49" t="n">
        <v>45</v>
      </c>
      <c r="B46" s="49" t="inlineStr">
        <is>
          <t>Ladies' Colorful Long Dresses (Style B)</t>
        </is>
      </c>
      <c r="C46" s="51" t="n">
        <v>5</v>
      </c>
      <c r="D46" s="51" t="n">
        <v>40</v>
      </c>
      <c r="E46" s="51" t="n">
        <v>80</v>
      </c>
      <c r="F46" s="51" t="n">
        <v>0</v>
      </c>
      <c r="G46" s="51">
        <f>SUMIF('Daily Sales Log'!$D:$D,A46,'Daily Sales Log'!$G:$G)</f>
        <v/>
      </c>
      <c r="H46" s="51">
        <f>SUMIF('Daily Sales Log'!$D:$D,A46,'Daily Sales Log'!$H:$H)</f>
        <v/>
      </c>
      <c r="I46" s="51">
        <f>G46+H46</f>
        <v/>
      </c>
      <c r="J46" s="51">
        <f>C46+F46-I46</f>
        <v/>
      </c>
      <c r="K46" s="51">
        <f>I46*E46</f>
        <v/>
      </c>
      <c r="L46" s="51">
        <f>J46*E46</f>
        <v/>
      </c>
    </row>
    <row r="47">
      <c r="A47" s="49" t="n">
        <v>46</v>
      </c>
      <c r="B47" s="49" t="inlineStr">
        <is>
          <t>Generic Perfumes / Fragrances</t>
        </is>
      </c>
      <c r="C47" s="51" t="n">
        <v>100</v>
      </c>
      <c r="D47" s="51" t="n">
        <v>15.3</v>
      </c>
      <c r="E47" s="51" t="n">
        <v>30.6</v>
      </c>
      <c r="F47" s="51" t="n">
        <v>0</v>
      </c>
      <c r="G47" s="51">
        <f>SUMIF('Daily Sales Log'!$D:$D,A47,'Daily Sales Log'!$G:$G)</f>
        <v/>
      </c>
      <c r="H47" s="51">
        <f>SUMIF('Daily Sales Log'!$D:$D,A47,'Daily Sales Log'!$H:$H)</f>
        <v/>
      </c>
      <c r="I47" s="51">
        <f>G47+H47</f>
        <v/>
      </c>
      <c r="J47" s="51">
        <f>C47+F47-I47</f>
        <v/>
      </c>
      <c r="K47" s="51">
        <f>I47*E47</f>
        <v/>
      </c>
      <c r="L47" s="51">
        <f>J47*E47</f>
        <v/>
      </c>
    </row>
    <row r="48">
      <c r="A48" s="49" t="n">
        <v>47</v>
      </c>
      <c r="B48" s="49" t="inlineStr">
        <is>
          <t>Ladies' Fashion Cargo Dresses (Style C)</t>
        </is>
      </c>
      <c r="C48" s="51" t="n">
        <v>4</v>
      </c>
      <c r="D48" s="51" t="n">
        <v>120</v>
      </c>
      <c r="E48" s="51" t="n">
        <v>240</v>
      </c>
      <c r="F48" s="51" t="n">
        <v>0</v>
      </c>
      <c r="G48" s="51">
        <f>SUMIF('Daily Sales Log'!$D:$D,A48,'Daily Sales Log'!$G:$G)</f>
        <v/>
      </c>
      <c r="H48" s="51">
        <f>SUMIF('Daily Sales Log'!$D:$D,A48,'Daily Sales Log'!$H:$H)</f>
        <v/>
      </c>
      <c r="I48" s="51">
        <f>G48+H48</f>
        <v/>
      </c>
      <c r="J48" s="51">
        <f>C48+F48-I48</f>
        <v/>
      </c>
      <c r="K48" s="51">
        <f>I48*E48</f>
        <v/>
      </c>
      <c r="L48" s="51">
        <f>J48*E48</f>
        <v/>
      </c>
    </row>
    <row r="49">
      <c r="A49" s="49" t="n">
        <v>48</v>
      </c>
      <c r="B49" s="49" t="inlineStr">
        <is>
          <t>Ladies' Fashion Cargo Dresses (Style D)</t>
        </is>
      </c>
      <c r="C49" s="51" t="n">
        <v>4</v>
      </c>
      <c r="D49" s="51" t="n">
        <v>108</v>
      </c>
      <c r="E49" s="51" t="n">
        <v>216</v>
      </c>
      <c r="F49" s="51" t="n">
        <v>0</v>
      </c>
      <c r="G49" s="51">
        <f>SUMIF('Daily Sales Log'!$D:$D,A49,'Daily Sales Log'!$G:$G)</f>
        <v/>
      </c>
      <c r="H49" s="51">
        <f>SUMIF('Daily Sales Log'!$D:$D,A49,'Daily Sales Log'!$H:$H)</f>
        <v/>
      </c>
      <c r="I49" s="51">
        <f>G49+H49</f>
        <v/>
      </c>
      <c r="J49" s="51">
        <f>C49+F49-I49</f>
        <v/>
      </c>
      <c r="K49" s="51">
        <f>I49*E49</f>
        <v/>
      </c>
      <c r="L49" s="51">
        <f>J49*E49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9" customWidth="1" min="4" max="4"/>
    <col width="36" customWidth="1" min="5" max="5"/>
    <col width="15" customWidth="1" min="6" max="6"/>
    <col width="11" customWidth="1" min="7" max="7"/>
    <col width="11" customWidth="1" min="8" max="8"/>
    <col width="11" customWidth="1" min="9" max="9"/>
    <col width="14" customWidth="1" min="10" max="10"/>
    <col width="14" customWidth="1" min="11" max="11"/>
    <col width="15" customWidth="1" min="12" max="12"/>
    <col width="25" customWidth="1" min="13" max="13"/>
  </cols>
  <sheetData>
    <row r="1" ht="30" customHeight="1">
      <c r="A1" s="50" t="inlineStr">
        <is>
          <t>Date</t>
        </is>
      </c>
      <c r="B1" s="50" t="inlineStr">
        <is>
          <t>Receipt / Ref</t>
        </is>
      </c>
      <c r="C1" s="50" t="inlineStr">
        <is>
          <t>Customer name</t>
        </is>
      </c>
      <c r="D1" s="50" t="inlineStr">
        <is>
          <t>Item No.</t>
        </is>
      </c>
      <c r="E1" s="50" t="inlineStr">
        <is>
          <t>Product name</t>
        </is>
      </c>
      <c r="F1" s="50" t="inlineStr">
        <is>
          <t>Unit selling price RMB</t>
        </is>
      </c>
      <c r="G1" s="50" t="inlineStr">
        <is>
          <t>Qty sold cash</t>
        </is>
      </c>
      <c r="H1" s="50" t="inlineStr">
        <is>
          <t>Qty sold credit</t>
        </is>
      </c>
      <c r="I1" s="50" t="inlineStr">
        <is>
          <t>Total qty sold</t>
        </is>
      </c>
      <c r="J1" s="50" t="inlineStr">
        <is>
          <t>Cash sales RMB</t>
        </is>
      </c>
      <c r="K1" s="50" t="inlineStr">
        <is>
          <t>Credit sales RMB</t>
        </is>
      </c>
      <c r="L1" s="50" t="inlineStr">
        <is>
          <t>Payment method</t>
        </is>
      </c>
      <c r="M1" s="50" t="inlineStr">
        <is>
          <t>Notes</t>
        </is>
      </c>
    </row>
    <row r="2">
      <c r="A2" s="52" t="n"/>
      <c r="B2" s="49" t="n"/>
      <c r="C2" s="49" t="n"/>
      <c r="D2" s="49" t="n"/>
      <c r="E2" s="49">
        <f>IFERROR(VLOOKUP(D2,'Stock Master'!$A$2:$L$49,2,FALSE),"")</f>
        <v/>
      </c>
      <c r="F2" s="51">
        <f>IFERROR(VLOOKUP(D2,'Stock Master'!$A$2:$L$49,5,FALSE),"")</f>
        <v/>
      </c>
      <c r="G2" s="51" t="n"/>
      <c r="H2" s="51" t="n"/>
      <c r="I2" s="51">
        <f>IFERROR(G2+H2,0)</f>
        <v/>
      </c>
      <c r="J2" s="51">
        <f>IFERROR(F2*G2,0)</f>
        <v/>
      </c>
      <c r="K2" s="51">
        <f>IFERROR(F2*H2,0)</f>
        <v/>
      </c>
      <c r="L2" s="49" t="n"/>
      <c r="M2" s="49" t="n"/>
    </row>
    <row r="3">
      <c r="A3" s="52" t="n"/>
      <c r="B3" s="49" t="n"/>
      <c r="C3" s="49" t="n"/>
      <c r="D3" s="49" t="n"/>
      <c r="E3" s="49">
        <f>IFERROR(VLOOKUP(D3,'Stock Master'!$A$2:$L$49,2,FALSE),"")</f>
        <v/>
      </c>
      <c r="F3" s="51">
        <f>IFERROR(VLOOKUP(D3,'Stock Master'!$A$2:$L$49,5,FALSE),"")</f>
        <v/>
      </c>
      <c r="G3" s="51" t="n"/>
      <c r="H3" s="51" t="n"/>
      <c r="I3" s="51">
        <f>IFERROR(G3+H3,0)</f>
        <v/>
      </c>
      <c r="J3" s="51">
        <f>IFERROR(F3*G3,0)</f>
        <v/>
      </c>
      <c r="K3" s="51">
        <f>IFERROR(F3*H3,0)</f>
        <v/>
      </c>
      <c r="L3" s="49" t="n"/>
      <c r="M3" s="49" t="n"/>
    </row>
    <row r="4">
      <c r="A4" s="52" t="n"/>
      <c r="B4" s="49" t="n"/>
      <c r="C4" s="49" t="n"/>
      <c r="D4" s="49" t="n"/>
      <c r="E4" s="49">
        <f>IFERROR(VLOOKUP(D4,'Stock Master'!$A$2:$L$49,2,FALSE),"")</f>
        <v/>
      </c>
      <c r="F4" s="51">
        <f>IFERROR(VLOOKUP(D4,'Stock Master'!$A$2:$L$49,5,FALSE),"")</f>
        <v/>
      </c>
      <c r="G4" s="51" t="n"/>
      <c r="H4" s="51" t="n"/>
      <c r="I4" s="51">
        <f>IFERROR(G4+H4,0)</f>
        <v/>
      </c>
      <c r="J4" s="51">
        <f>IFERROR(F4*G4,0)</f>
        <v/>
      </c>
      <c r="K4" s="51">
        <f>IFERROR(F4*H4,0)</f>
        <v/>
      </c>
      <c r="L4" s="49" t="n"/>
      <c r="M4" s="49" t="n"/>
    </row>
    <row r="5">
      <c r="A5" s="52" t="n"/>
      <c r="B5" s="49" t="n"/>
      <c r="C5" s="49" t="n"/>
      <c r="D5" s="49" t="n"/>
      <c r="E5" s="49">
        <f>IFERROR(VLOOKUP(D5,'Stock Master'!$A$2:$L$49,2,FALSE),"")</f>
        <v/>
      </c>
      <c r="F5" s="51">
        <f>IFERROR(VLOOKUP(D5,'Stock Master'!$A$2:$L$49,5,FALSE),"")</f>
        <v/>
      </c>
      <c r="G5" s="51" t="n"/>
      <c r="H5" s="51" t="n"/>
      <c r="I5" s="51">
        <f>IFERROR(G5+H5,0)</f>
        <v/>
      </c>
      <c r="J5" s="51">
        <f>IFERROR(F5*G5,0)</f>
        <v/>
      </c>
      <c r="K5" s="51">
        <f>IFERROR(F5*H5,0)</f>
        <v/>
      </c>
      <c r="L5" s="49" t="n"/>
      <c r="M5" s="49" t="n"/>
    </row>
    <row r="6">
      <c r="A6" s="52" t="n"/>
      <c r="B6" s="49" t="n"/>
      <c r="C6" s="49" t="n"/>
      <c r="D6" s="49" t="n"/>
      <c r="E6" s="49">
        <f>IFERROR(VLOOKUP(D6,'Stock Master'!$A$2:$L$49,2,FALSE),"")</f>
        <v/>
      </c>
      <c r="F6" s="51">
        <f>IFERROR(VLOOKUP(D6,'Stock Master'!$A$2:$L$49,5,FALSE),"")</f>
        <v/>
      </c>
      <c r="G6" s="51" t="n"/>
      <c r="H6" s="51" t="n"/>
      <c r="I6" s="51">
        <f>IFERROR(G6+H6,0)</f>
        <v/>
      </c>
      <c r="J6" s="51">
        <f>IFERROR(F6*G6,0)</f>
        <v/>
      </c>
      <c r="K6" s="51">
        <f>IFERROR(F6*H6,0)</f>
        <v/>
      </c>
      <c r="L6" s="49" t="n"/>
      <c r="M6" s="49" t="n"/>
    </row>
    <row r="7">
      <c r="A7" s="52" t="n"/>
      <c r="B7" s="49" t="n"/>
      <c r="C7" s="49" t="n"/>
      <c r="D7" s="49" t="n"/>
      <c r="E7" s="49">
        <f>IFERROR(VLOOKUP(D7,'Stock Master'!$A$2:$L$49,2,FALSE),"")</f>
        <v/>
      </c>
      <c r="F7" s="51">
        <f>IFERROR(VLOOKUP(D7,'Stock Master'!$A$2:$L$49,5,FALSE),"")</f>
        <v/>
      </c>
      <c r="G7" s="51" t="n"/>
      <c r="H7" s="51" t="n"/>
      <c r="I7" s="51">
        <f>IFERROR(G7+H7,0)</f>
        <v/>
      </c>
      <c r="J7" s="51">
        <f>IFERROR(F7*G7,0)</f>
        <v/>
      </c>
      <c r="K7" s="51">
        <f>IFERROR(F7*H7,0)</f>
        <v/>
      </c>
      <c r="L7" s="49" t="n"/>
      <c r="M7" s="49" t="n"/>
    </row>
    <row r="8">
      <c r="A8" s="52" t="n"/>
      <c r="B8" s="49" t="n"/>
      <c r="C8" s="49" t="n"/>
      <c r="D8" s="49" t="n"/>
      <c r="E8" s="49">
        <f>IFERROR(VLOOKUP(D8,'Stock Master'!$A$2:$L$49,2,FALSE),"")</f>
        <v/>
      </c>
      <c r="F8" s="51">
        <f>IFERROR(VLOOKUP(D8,'Stock Master'!$A$2:$L$49,5,FALSE),"")</f>
        <v/>
      </c>
      <c r="G8" s="51" t="n"/>
      <c r="H8" s="51" t="n"/>
      <c r="I8" s="51">
        <f>IFERROR(G8+H8,0)</f>
        <v/>
      </c>
      <c r="J8" s="51">
        <f>IFERROR(F8*G8,0)</f>
        <v/>
      </c>
      <c r="K8" s="51">
        <f>IFERROR(F8*H8,0)</f>
        <v/>
      </c>
      <c r="L8" s="49" t="n"/>
      <c r="M8" s="49" t="n"/>
    </row>
    <row r="9">
      <c r="A9" s="52" t="n"/>
      <c r="B9" s="49" t="n"/>
      <c r="C9" s="49" t="n"/>
      <c r="D9" s="49" t="n"/>
      <c r="E9" s="49">
        <f>IFERROR(VLOOKUP(D9,'Stock Master'!$A$2:$L$49,2,FALSE),"")</f>
        <v/>
      </c>
      <c r="F9" s="51">
        <f>IFERROR(VLOOKUP(D9,'Stock Master'!$A$2:$L$49,5,FALSE),"")</f>
        <v/>
      </c>
      <c r="G9" s="51" t="n"/>
      <c r="H9" s="51" t="n"/>
      <c r="I9" s="51">
        <f>IFERROR(G9+H9,0)</f>
        <v/>
      </c>
      <c r="J9" s="51">
        <f>IFERROR(F9*G9,0)</f>
        <v/>
      </c>
      <c r="K9" s="51">
        <f>IFERROR(F9*H9,0)</f>
        <v/>
      </c>
      <c r="L9" s="49" t="n"/>
      <c r="M9" s="49" t="n"/>
    </row>
    <row r="10">
      <c r="A10" s="52" t="n"/>
      <c r="B10" s="49" t="n"/>
      <c r="C10" s="49" t="n"/>
      <c r="D10" s="49" t="n"/>
      <c r="E10" s="49">
        <f>IFERROR(VLOOKUP(D10,'Stock Master'!$A$2:$L$49,2,FALSE),"")</f>
        <v/>
      </c>
      <c r="F10" s="51">
        <f>IFERROR(VLOOKUP(D10,'Stock Master'!$A$2:$L$49,5,FALSE),"")</f>
        <v/>
      </c>
      <c r="G10" s="51" t="n"/>
      <c r="H10" s="51" t="n"/>
      <c r="I10" s="51">
        <f>IFERROR(G10+H10,0)</f>
        <v/>
      </c>
      <c r="J10" s="51">
        <f>IFERROR(F10*G10,0)</f>
        <v/>
      </c>
      <c r="K10" s="51">
        <f>IFERROR(F10*H10,0)</f>
        <v/>
      </c>
      <c r="L10" s="49" t="n"/>
      <c r="M10" s="49" t="n"/>
    </row>
    <row r="11">
      <c r="A11" s="52" t="n"/>
      <c r="B11" s="49" t="n"/>
      <c r="C11" s="49" t="n"/>
      <c r="D11" s="49" t="n"/>
      <c r="E11" s="49">
        <f>IFERROR(VLOOKUP(D11,'Stock Master'!$A$2:$L$49,2,FALSE),"")</f>
        <v/>
      </c>
      <c r="F11" s="51">
        <f>IFERROR(VLOOKUP(D11,'Stock Master'!$A$2:$L$49,5,FALSE),"")</f>
        <v/>
      </c>
      <c r="G11" s="51" t="n"/>
      <c r="H11" s="51" t="n"/>
      <c r="I11" s="51">
        <f>IFERROR(G11+H11,0)</f>
        <v/>
      </c>
      <c r="J11" s="51">
        <f>IFERROR(F11*G11,0)</f>
        <v/>
      </c>
      <c r="K11" s="51">
        <f>IFERROR(F11*H11,0)</f>
        <v/>
      </c>
      <c r="L11" s="49" t="n"/>
      <c r="M11" s="49" t="n"/>
    </row>
    <row r="12">
      <c r="A12" s="52" t="n"/>
      <c r="B12" s="49" t="n"/>
      <c r="C12" s="49" t="n"/>
      <c r="D12" s="49" t="n"/>
      <c r="E12" s="49">
        <f>IFERROR(VLOOKUP(D12,'Stock Master'!$A$2:$L$49,2,FALSE),"")</f>
        <v/>
      </c>
      <c r="F12" s="51">
        <f>IFERROR(VLOOKUP(D12,'Stock Master'!$A$2:$L$49,5,FALSE),"")</f>
        <v/>
      </c>
      <c r="G12" s="51" t="n"/>
      <c r="H12" s="51" t="n"/>
      <c r="I12" s="51">
        <f>IFERROR(G12+H12,0)</f>
        <v/>
      </c>
      <c r="J12" s="51">
        <f>IFERROR(F12*G12,0)</f>
        <v/>
      </c>
      <c r="K12" s="51">
        <f>IFERROR(F12*H12,0)</f>
        <v/>
      </c>
      <c r="L12" s="49" t="n"/>
      <c r="M12" s="49" t="n"/>
    </row>
    <row r="13">
      <c r="A13" s="52" t="n"/>
      <c r="B13" s="49" t="n"/>
      <c r="C13" s="49" t="n"/>
      <c r="D13" s="49" t="n"/>
      <c r="E13" s="49">
        <f>IFERROR(VLOOKUP(D13,'Stock Master'!$A$2:$L$49,2,FALSE),"")</f>
        <v/>
      </c>
      <c r="F13" s="51">
        <f>IFERROR(VLOOKUP(D13,'Stock Master'!$A$2:$L$49,5,FALSE),"")</f>
        <v/>
      </c>
      <c r="G13" s="51" t="n"/>
      <c r="H13" s="51" t="n"/>
      <c r="I13" s="51">
        <f>IFERROR(G13+H13,0)</f>
        <v/>
      </c>
      <c r="J13" s="51">
        <f>IFERROR(F13*G13,0)</f>
        <v/>
      </c>
      <c r="K13" s="51">
        <f>IFERROR(F13*H13,0)</f>
        <v/>
      </c>
      <c r="L13" s="49" t="n"/>
      <c r="M13" s="49" t="n"/>
    </row>
    <row r="14">
      <c r="A14" s="52" t="n"/>
      <c r="B14" s="49" t="n"/>
      <c r="C14" s="49" t="n"/>
      <c r="D14" s="49" t="n"/>
      <c r="E14" s="49">
        <f>IFERROR(VLOOKUP(D14,'Stock Master'!$A$2:$L$49,2,FALSE),"")</f>
        <v/>
      </c>
      <c r="F14" s="51">
        <f>IFERROR(VLOOKUP(D14,'Stock Master'!$A$2:$L$49,5,FALSE),"")</f>
        <v/>
      </c>
      <c r="G14" s="51" t="n"/>
      <c r="H14" s="51" t="n"/>
      <c r="I14" s="51">
        <f>IFERROR(G14+H14,0)</f>
        <v/>
      </c>
      <c r="J14" s="51">
        <f>IFERROR(F14*G14,0)</f>
        <v/>
      </c>
      <c r="K14" s="51">
        <f>IFERROR(F14*H14,0)</f>
        <v/>
      </c>
      <c r="L14" s="49" t="n"/>
      <c r="M14" s="49" t="n"/>
    </row>
    <row r="15">
      <c r="A15" s="52" t="n"/>
      <c r="B15" s="49" t="n"/>
      <c r="C15" s="49" t="n"/>
      <c r="D15" s="49" t="n"/>
      <c r="E15" s="49">
        <f>IFERROR(VLOOKUP(D15,'Stock Master'!$A$2:$L$49,2,FALSE),"")</f>
        <v/>
      </c>
      <c r="F15" s="51">
        <f>IFERROR(VLOOKUP(D15,'Stock Master'!$A$2:$L$49,5,FALSE),"")</f>
        <v/>
      </c>
      <c r="G15" s="51" t="n"/>
      <c r="H15" s="51" t="n"/>
      <c r="I15" s="51">
        <f>IFERROR(G15+H15,0)</f>
        <v/>
      </c>
      <c r="J15" s="51">
        <f>IFERROR(F15*G15,0)</f>
        <v/>
      </c>
      <c r="K15" s="51">
        <f>IFERROR(F15*H15,0)</f>
        <v/>
      </c>
      <c r="L15" s="49" t="n"/>
      <c r="M15" s="49" t="n"/>
    </row>
    <row r="16">
      <c r="A16" s="52" t="n"/>
      <c r="B16" s="49" t="n"/>
      <c r="C16" s="49" t="n"/>
      <c r="D16" s="49" t="n"/>
      <c r="E16" s="49">
        <f>IFERROR(VLOOKUP(D16,'Stock Master'!$A$2:$L$49,2,FALSE),"")</f>
        <v/>
      </c>
      <c r="F16" s="51">
        <f>IFERROR(VLOOKUP(D16,'Stock Master'!$A$2:$L$49,5,FALSE),"")</f>
        <v/>
      </c>
      <c r="G16" s="51" t="n"/>
      <c r="H16" s="51" t="n"/>
      <c r="I16" s="51">
        <f>IFERROR(G16+H16,0)</f>
        <v/>
      </c>
      <c r="J16" s="51">
        <f>IFERROR(F16*G16,0)</f>
        <v/>
      </c>
      <c r="K16" s="51">
        <f>IFERROR(F16*H16,0)</f>
        <v/>
      </c>
      <c r="L16" s="49" t="n"/>
      <c r="M16" s="49" t="n"/>
    </row>
    <row r="17">
      <c r="A17" s="52" t="n"/>
      <c r="B17" s="49" t="n"/>
      <c r="C17" s="49" t="n"/>
      <c r="D17" s="49" t="n"/>
      <c r="E17" s="49">
        <f>IFERROR(VLOOKUP(D17,'Stock Master'!$A$2:$L$49,2,FALSE),"")</f>
        <v/>
      </c>
      <c r="F17" s="51">
        <f>IFERROR(VLOOKUP(D17,'Stock Master'!$A$2:$L$49,5,FALSE),"")</f>
        <v/>
      </c>
      <c r="G17" s="51" t="n"/>
      <c r="H17" s="51" t="n"/>
      <c r="I17" s="51">
        <f>IFERROR(G17+H17,0)</f>
        <v/>
      </c>
      <c r="J17" s="51">
        <f>IFERROR(F17*G17,0)</f>
        <v/>
      </c>
      <c r="K17" s="51">
        <f>IFERROR(F17*H17,0)</f>
        <v/>
      </c>
      <c r="L17" s="49" t="n"/>
      <c r="M17" s="49" t="n"/>
    </row>
    <row r="18">
      <c r="A18" s="52" t="n"/>
      <c r="B18" s="49" t="n"/>
      <c r="C18" s="49" t="n"/>
      <c r="D18" s="49" t="n"/>
      <c r="E18" s="49">
        <f>IFERROR(VLOOKUP(D18,'Stock Master'!$A$2:$L$49,2,FALSE),"")</f>
        <v/>
      </c>
      <c r="F18" s="51">
        <f>IFERROR(VLOOKUP(D18,'Stock Master'!$A$2:$L$49,5,FALSE),"")</f>
        <v/>
      </c>
      <c r="G18" s="51" t="n"/>
      <c r="H18" s="51" t="n"/>
      <c r="I18" s="51">
        <f>IFERROR(G18+H18,0)</f>
        <v/>
      </c>
      <c r="J18" s="51">
        <f>IFERROR(F18*G18,0)</f>
        <v/>
      </c>
      <c r="K18" s="51">
        <f>IFERROR(F18*H18,0)</f>
        <v/>
      </c>
      <c r="L18" s="49" t="n"/>
      <c r="M18" s="49" t="n"/>
    </row>
    <row r="19">
      <c r="A19" s="52" t="n"/>
      <c r="B19" s="49" t="n"/>
      <c r="C19" s="49" t="n"/>
      <c r="D19" s="49" t="n"/>
      <c r="E19" s="49">
        <f>IFERROR(VLOOKUP(D19,'Stock Master'!$A$2:$L$49,2,FALSE),"")</f>
        <v/>
      </c>
      <c r="F19" s="51">
        <f>IFERROR(VLOOKUP(D19,'Stock Master'!$A$2:$L$49,5,FALSE),"")</f>
        <v/>
      </c>
      <c r="G19" s="51" t="n"/>
      <c r="H19" s="51" t="n"/>
      <c r="I19" s="51">
        <f>IFERROR(G19+H19,0)</f>
        <v/>
      </c>
      <c r="J19" s="51">
        <f>IFERROR(F19*G19,0)</f>
        <v/>
      </c>
      <c r="K19" s="51">
        <f>IFERROR(F19*H19,0)</f>
        <v/>
      </c>
      <c r="L19" s="49" t="n"/>
      <c r="M19" s="49" t="n"/>
    </row>
    <row r="20">
      <c r="A20" s="52" t="n"/>
      <c r="B20" s="49" t="n"/>
      <c r="C20" s="49" t="n"/>
      <c r="D20" s="49" t="n"/>
      <c r="E20" s="49">
        <f>IFERROR(VLOOKUP(D20,'Stock Master'!$A$2:$L$49,2,FALSE),"")</f>
        <v/>
      </c>
      <c r="F20" s="51">
        <f>IFERROR(VLOOKUP(D20,'Stock Master'!$A$2:$L$49,5,FALSE),"")</f>
        <v/>
      </c>
      <c r="G20" s="51" t="n"/>
      <c r="H20" s="51" t="n"/>
      <c r="I20" s="51">
        <f>IFERROR(G20+H20,0)</f>
        <v/>
      </c>
      <c r="J20" s="51">
        <f>IFERROR(F20*G20,0)</f>
        <v/>
      </c>
      <c r="K20" s="51">
        <f>IFERROR(F20*H20,0)</f>
        <v/>
      </c>
      <c r="L20" s="49" t="n"/>
      <c r="M20" s="49" t="n"/>
    </row>
    <row r="21">
      <c r="A21" s="52" t="n"/>
      <c r="B21" s="49" t="n"/>
      <c r="C21" s="49" t="n"/>
      <c r="D21" s="49" t="n"/>
      <c r="E21" s="49">
        <f>IFERROR(VLOOKUP(D21,'Stock Master'!$A$2:$L$49,2,FALSE),"")</f>
        <v/>
      </c>
      <c r="F21" s="51">
        <f>IFERROR(VLOOKUP(D21,'Stock Master'!$A$2:$L$49,5,FALSE),"")</f>
        <v/>
      </c>
      <c r="G21" s="51" t="n"/>
      <c r="H21" s="51" t="n"/>
      <c r="I21" s="51">
        <f>IFERROR(G21+H21,0)</f>
        <v/>
      </c>
      <c r="J21" s="51">
        <f>IFERROR(F21*G21,0)</f>
        <v/>
      </c>
      <c r="K21" s="51">
        <f>IFERROR(F21*H21,0)</f>
        <v/>
      </c>
      <c r="L21" s="49" t="n"/>
      <c r="M21" s="49" t="n"/>
    </row>
    <row r="22">
      <c r="A22" s="52" t="n"/>
      <c r="B22" s="49" t="n"/>
      <c r="C22" s="49" t="n"/>
      <c r="D22" s="49" t="n"/>
      <c r="E22" s="49">
        <f>IFERROR(VLOOKUP(D22,'Stock Master'!$A$2:$L$49,2,FALSE),"")</f>
        <v/>
      </c>
      <c r="F22" s="51">
        <f>IFERROR(VLOOKUP(D22,'Stock Master'!$A$2:$L$49,5,FALSE),"")</f>
        <v/>
      </c>
      <c r="G22" s="51" t="n"/>
      <c r="H22" s="51" t="n"/>
      <c r="I22" s="51">
        <f>IFERROR(G22+H22,0)</f>
        <v/>
      </c>
      <c r="J22" s="51">
        <f>IFERROR(F22*G22,0)</f>
        <v/>
      </c>
      <c r="K22" s="51">
        <f>IFERROR(F22*H22,0)</f>
        <v/>
      </c>
      <c r="L22" s="49" t="n"/>
      <c r="M22" s="49" t="n"/>
    </row>
    <row r="23">
      <c r="A23" s="52" t="n"/>
      <c r="B23" s="49" t="n"/>
      <c r="C23" s="49" t="n"/>
      <c r="D23" s="49" t="n"/>
      <c r="E23" s="49">
        <f>IFERROR(VLOOKUP(D23,'Stock Master'!$A$2:$L$49,2,FALSE),"")</f>
        <v/>
      </c>
      <c r="F23" s="51">
        <f>IFERROR(VLOOKUP(D23,'Stock Master'!$A$2:$L$49,5,FALSE),"")</f>
        <v/>
      </c>
      <c r="G23" s="51" t="n"/>
      <c r="H23" s="51" t="n"/>
      <c r="I23" s="51">
        <f>IFERROR(G23+H23,0)</f>
        <v/>
      </c>
      <c r="J23" s="51">
        <f>IFERROR(F23*G23,0)</f>
        <v/>
      </c>
      <c r="K23" s="51">
        <f>IFERROR(F23*H23,0)</f>
        <v/>
      </c>
      <c r="L23" s="49" t="n"/>
      <c r="M23" s="49" t="n"/>
    </row>
    <row r="24">
      <c r="A24" s="52" t="n"/>
      <c r="B24" s="49" t="n"/>
      <c r="C24" s="49" t="n"/>
      <c r="D24" s="49" t="n"/>
      <c r="E24" s="49">
        <f>IFERROR(VLOOKUP(D24,'Stock Master'!$A$2:$L$49,2,FALSE),"")</f>
        <v/>
      </c>
      <c r="F24" s="51">
        <f>IFERROR(VLOOKUP(D24,'Stock Master'!$A$2:$L$49,5,FALSE),"")</f>
        <v/>
      </c>
      <c r="G24" s="51" t="n"/>
      <c r="H24" s="51" t="n"/>
      <c r="I24" s="51">
        <f>IFERROR(G24+H24,0)</f>
        <v/>
      </c>
      <c r="J24" s="51">
        <f>IFERROR(F24*G24,0)</f>
        <v/>
      </c>
      <c r="K24" s="51">
        <f>IFERROR(F24*H24,0)</f>
        <v/>
      </c>
      <c r="L24" s="49" t="n"/>
      <c r="M24" s="49" t="n"/>
    </row>
    <row r="25">
      <c r="A25" s="52" t="n"/>
      <c r="B25" s="49" t="n"/>
      <c r="C25" s="49" t="n"/>
      <c r="D25" s="49" t="n"/>
      <c r="E25" s="49">
        <f>IFERROR(VLOOKUP(D25,'Stock Master'!$A$2:$L$49,2,FALSE),"")</f>
        <v/>
      </c>
      <c r="F25" s="51">
        <f>IFERROR(VLOOKUP(D25,'Stock Master'!$A$2:$L$49,5,FALSE),"")</f>
        <v/>
      </c>
      <c r="G25" s="51" t="n"/>
      <c r="H25" s="51" t="n"/>
      <c r="I25" s="51">
        <f>IFERROR(G25+H25,0)</f>
        <v/>
      </c>
      <c r="J25" s="51">
        <f>IFERROR(F25*G25,0)</f>
        <v/>
      </c>
      <c r="K25" s="51">
        <f>IFERROR(F25*H25,0)</f>
        <v/>
      </c>
      <c r="L25" s="49" t="n"/>
      <c r="M25" s="49" t="n"/>
    </row>
    <row r="26">
      <c r="A26" s="52" t="n"/>
      <c r="B26" s="49" t="n"/>
      <c r="C26" s="49" t="n"/>
      <c r="D26" s="49" t="n"/>
      <c r="E26" s="49">
        <f>IFERROR(VLOOKUP(D26,'Stock Master'!$A$2:$L$49,2,FALSE),"")</f>
        <v/>
      </c>
      <c r="F26" s="51">
        <f>IFERROR(VLOOKUP(D26,'Stock Master'!$A$2:$L$49,5,FALSE),"")</f>
        <v/>
      </c>
      <c r="G26" s="51" t="n"/>
      <c r="H26" s="51" t="n"/>
      <c r="I26" s="51">
        <f>IFERROR(G26+H26,0)</f>
        <v/>
      </c>
      <c r="J26" s="51">
        <f>IFERROR(F26*G26,0)</f>
        <v/>
      </c>
      <c r="K26" s="51">
        <f>IFERROR(F26*H26,0)</f>
        <v/>
      </c>
      <c r="L26" s="49" t="n"/>
      <c r="M26" s="49" t="n"/>
    </row>
    <row r="27">
      <c r="A27" s="52" t="n"/>
      <c r="B27" s="49" t="n"/>
      <c r="C27" s="49" t="n"/>
      <c r="D27" s="49" t="n"/>
      <c r="E27" s="49">
        <f>IFERROR(VLOOKUP(D27,'Stock Master'!$A$2:$L$49,2,FALSE),"")</f>
        <v/>
      </c>
      <c r="F27" s="51">
        <f>IFERROR(VLOOKUP(D27,'Stock Master'!$A$2:$L$49,5,FALSE),"")</f>
        <v/>
      </c>
      <c r="G27" s="51" t="n"/>
      <c r="H27" s="51" t="n"/>
      <c r="I27" s="51">
        <f>IFERROR(G27+H27,0)</f>
        <v/>
      </c>
      <c r="J27" s="51">
        <f>IFERROR(F27*G27,0)</f>
        <v/>
      </c>
      <c r="K27" s="51">
        <f>IFERROR(F27*H27,0)</f>
        <v/>
      </c>
      <c r="L27" s="49" t="n"/>
      <c r="M27" s="49" t="n"/>
    </row>
    <row r="28">
      <c r="A28" s="52" t="n"/>
      <c r="B28" s="49" t="n"/>
      <c r="C28" s="49" t="n"/>
      <c r="D28" s="49" t="n"/>
      <c r="E28" s="49">
        <f>IFERROR(VLOOKUP(D28,'Stock Master'!$A$2:$L$49,2,FALSE),"")</f>
        <v/>
      </c>
      <c r="F28" s="51">
        <f>IFERROR(VLOOKUP(D28,'Stock Master'!$A$2:$L$49,5,FALSE),"")</f>
        <v/>
      </c>
      <c r="G28" s="51" t="n"/>
      <c r="H28" s="51" t="n"/>
      <c r="I28" s="51">
        <f>IFERROR(G28+H28,0)</f>
        <v/>
      </c>
      <c r="J28" s="51">
        <f>IFERROR(F28*G28,0)</f>
        <v/>
      </c>
      <c r="K28" s="51">
        <f>IFERROR(F28*H28,0)</f>
        <v/>
      </c>
      <c r="L28" s="49" t="n"/>
      <c r="M28" s="49" t="n"/>
    </row>
    <row r="29">
      <c r="A29" s="52" t="n"/>
      <c r="B29" s="49" t="n"/>
      <c r="C29" s="49" t="n"/>
      <c r="D29" s="49" t="n"/>
      <c r="E29" s="49">
        <f>IFERROR(VLOOKUP(D29,'Stock Master'!$A$2:$L$49,2,FALSE),"")</f>
        <v/>
      </c>
      <c r="F29" s="51">
        <f>IFERROR(VLOOKUP(D29,'Stock Master'!$A$2:$L$49,5,FALSE),"")</f>
        <v/>
      </c>
      <c r="G29" s="51" t="n"/>
      <c r="H29" s="51" t="n"/>
      <c r="I29" s="51">
        <f>IFERROR(G29+H29,0)</f>
        <v/>
      </c>
      <c r="J29" s="51">
        <f>IFERROR(F29*G29,0)</f>
        <v/>
      </c>
      <c r="K29" s="51">
        <f>IFERROR(F29*H29,0)</f>
        <v/>
      </c>
      <c r="L29" s="49" t="n"/>
      <c r="M29" s="49" t="n"/>
    </row>
    <row r="30">
      <c r="A30" s="52" t="n"/>
      <c r="B30" s="49" t="n"/>
      <c r="C30" s="49" t="n"/>
      <c r="D30" s="49" t="n"/>
      <c r="E30" s="49">
        <f>IFERROR(VLOOKUP(D30,'Stock Master'!$A$2:$L$49,2,FALSE),"")</f>
        <v/>
      </c>
      <c r="F30" s="51">
        <f>IFERROR(VLOOKUP(D30,'Stock Master'!$A$2:$L$49,5,FALSE),"")</f>
        <v/>
      </c>
      <c r="G30" s="51" t="n"/>
      <c r="H30" s="51" t="n"/>
      <c r="I30" s="51">
        <f>IFERROR(G30+H30,0)</f>
        <v/>
      </c>
      <c r="J30" s="51">
        <f>IFERROR(F30*G30,0)</f>
        <v/>
      </c>
      <c r="K30" s="51">
        <f>IFERROR(F30*H30,0)</f>
        <v/>
      </c>
      <c r="L30" s="49" t="n"/>
      <c r="M30" s="49" t="n"/>
    </row>
    <row r="31">
      <c r="A31" s="52" t="n"/>
      <c r="B31" s="49" t="n"/>
      <c r="C31" s="49" t="n"/>
      <c r="D31" s="49" t="n"/>
      <c r="E31" s="49">
        <f>IFERROR(VLOOKUP(D31,'Stock Master'!$A$2:$L$49,2,FALSE),"")</f>
        <v/>
      </c>
      <c r="F31" s="51">
        <f>IFERROR(VLOOKUP(D31,'Stock Master'!$A$2:$L$49,5,FALSE),"")</f>
        <v/>
      </c>
      <c r="G31" s="51" t="n"/>
      <c r="H31" s="51" t="n"/>
      <c r="I31" s="51">
        <f>IFERROR(G31+H31,0)</f>
        <v/>
      </c>
      <c r="J31" s="51">
        <f>IFERROR(F31*G31,0)</f>
        <v/>
      </c>
      <c r="K31" s="51">
        <f>IFERROR(F31*H31,0)</f>
        <v/>
      </c>
      <c r="L31" s="49" t="n"/>
      <c r="M31" s="49" t="n"/>
    </row>
    <row r="32">
      <c r="A32" s="52" t="n"/>
      <c r="B32" s="49" t="n"/>
      <c r="C32" s="49" t="n"/>
      <c r="D32" s="49" t="n"/>
      <c r="E32" s="49">
        <f>IFERROR(VLOOKUP(D32,'Stock Master'!$A$2:$L$49,2,FALSE),"")</f>
        <v/>
      </c>
      <c r="F32" s="51">
        <f>IFERROR(VLOOKUP(D32,'Stock Master'!$A$2:$L$49,5,FALSE),"")</f>
        <v/>
      </c>
      <c r="G32" s="51" t="n"/>
      <c r="H32" s="51" t="n"/>
      <c r="I32" s="51">
        <f>IFERROR(G32+H32,0)</f>
        <v/>
      </c>
      <c r="J32" s="51">
        <f>IFERROR(F32*G32,0)</f>
        <v/>
      </c>
      <c r="K32" s="51">
        <f>IFERROR(F32*H32,0)</f>
        <v/>
      </c>
      <c r="L32" s="49" t="n"/>
      <c r="M32" s="49" t="n"/>
    </row>
    <row r="33">
      <c r="A33" s="52" t="n"/>
      <c r="B33" s="49" t="n"/>
      <c r="C33" s="49" t="n"/>
      <c r="D33" s="49" t="n"/>
      <c r="E33" s="49">
        <f>IFERROR(VLOOKUP(D33,'Stock Master'!$A$2:$L$49,2,FALSE),"")</f>
        <v/>
      </c>
      <c r="F33" s="51">
        <f>IFERROR(VLOOKUP(D33,'Stock Master'!$A$2:$L$49,5,FALSE),"")</f>
        <v/>
      </c>
      <c r="G33" s="51" t="n"/>
      <c r="H33" s="51" t="n"/>
      <c r="I33" s="51">
        <f>IFERROR(G33+H33,0)</f>
        <v/>
      </c>
      <c r="J33" s="51">
        <f>IFERROR(F33*G33,0)</f>
        <v/>
      </c>
      <c r="K33" s="51">
        <f>IFERROR(F33*H33,0)</f>
        <v/>
      </c>
      <c r="L33" s="49" t="n"/>
      <c r="M33" s="49" t="n"/>
    </row>
    <row r="34">
      <c r="A34" s="52" t="n"/>
      <c r="B34" s="49" t="n"/>
      <c r="C34" s="49" t="n"/>
      <c r="D34" s="49" t="n"/>
      <c r="E34" s="49">
        <f>IFERROR(VLOOKUP(D34,'Stock Master'!$A$2:$L$49,2,FALSE),"")</f>
        <v/>
      </c>
      <c r="F34" s="51">
        <f>IFERROR(VLOOKUP(D34,'Stock Master'!$A$2:$L$49,5,FALSE),"")</f>
        <v/>
      </c>
      <c r="G34" s="51" t="n"/>
      <c r="H34" s="51" t="n"/>
      <c r="I34" s="51">
        <f>IFERROR(G34+H34,0)</f>
        <v/>
      </c>
      <c r="J34" s="51">
        <f>IFERROR(F34*G34,0)</f>
        <v/>
      </c>
      <c r="K34" s="51">
        <f>IFERROR(F34*H34,0)</f>
        <v/>
      </c>
      <c r="L34" s="49" t="n"/>
      <c r="M34" s="49" t="n"/>
    </row>
    <row r="35">
      <c r="A35" s="52" t="n"/>
      <c r="B35" s="49" t="n"/>
      <c r="C35" s="49" t="n"/>
      <c r="D35" s="49" t="n"/>
      <c r="E35" s="49">
        <f>IFERROR(VLOOKUP(D35,'Stock Master'!$A$2:$L$49,2,FALSE),"")</f>
        <v/>
      </c>
      <c r="F35" s="51">
        <f>IFERROR(VLOOKUP(D35,'Stock Master'!$A$2:$L$49,5,FALSE),"")</f>
        <v/>
      </c>
      <c r="G35" s="51" t="n"/>
      <c r="H35" s="51" t="n"/>
      <c r="I35" s="51">
        <f>IFERROR(G35+H35,0)</f>
        <v/>
      </c>
      <c r="J35" s="51">
        <f>IFERROR(F35*G35,0)</f>
        <v/>
      </c>
      <c r="K35" s="51">
        <f>IFERROR(F35*H35,0)</f>
        <v/>
      </c>
      <c r="L35" s="49" t="n"/>
      <c r="M35" s="49" t="n"/>
    </row>
    <row r="36">
      <c r="A36" s="52" t="n"/>
      <c r="B36" s="49" t="n"/>
      <c r="C36" s="49" t="n"/>
      <c r="D36" s="49" t="n"/>
      <c r="E36" s="49">
        <f>IFERROR(VLOOKUP(D36,'Stock Master'!$A$2:$L$49,2,FALSE),"")</f>
        <v/>
      </c>
      <c r="F36" s="51">
        <f>IFERROR(VLOOKUP(D36,'Stock Master'!$A$2:$L$49,5,FALSE),"")</f>
        <v/>
      </c>
      <c r="G36" s="51" t="n"/>
      <c r="H36" s="51" t="n"/>
      <c r="I36" s="51">
        <f>IFERROR(G36+H36,0)</f>
        <v/>
      </c>
      <c r="J36" s="51">
        <f>IFERROR(F36*G36,0)</f>
        <v/>
      </c>
      <c r="K36" s="51">
        <f>IFERROR(F36*H36,0)</f>
        <v/>
      </c>
      <c r="L36" s="49" t="n"/>
      <c r="M36" s="49" t="n"/>
    </row>
    <row r="37">
      <c r="A37" s="52" t="n"/>
      <c r="B37" s="49" t="n"/>
      <c r="C37" s="49" t="n"/>
      <c r="D37" s="49" t="n"/>
      <c r="E37" s="49">
        <f>IFERROR(VLOOKUP(D37,'Stock Master'!$A$2:$L$49,2,FALSE),"")</f>
        <v/>
      </c>
      <c r="F37" s="51">
        <f>IFERROR(VLOOKUP(D37,'Stock Master'!$A$2:$L$49,5,FALSE),"")</f>
        <v/>
      </c>
      <c r="G37" s="51" t="n"/>
      <c r="H37" s="51" t="n"/>
      <c r="I37" s="51">
        <f>IFERROR(G37+H37,0)</f>
        <v/>
      </c>
      <c r="J37" s="51">
        <f>IFERROR(F37*G37,0)</f>
        <v/>
      </c>
      <c r="K37" s="51">
        <f>IFERROR(F37*H37,0)</f>
        <v/>
      </c>
      <c r="L37" s="49" t="n"/>
      <c r="M37" s="49" t="n"/>
    </row>
    <row r="38">
      <c r="A38" s="52" t="n"/>
      <c r="B38" s="49" t="n"/>
      <c r="C38" s="49" t="n"/>
      <c r="D38" s="49" t="n"/>
      <c r="E38" s="49">
        <f>IFERROR(VLOOKUP(D38,'Stock Master'!$A$2:$L$49,2,FALSE),"")</f>
        <v/>
      </c>
      <c r="F38" s="51">
        <f>IFERROR(VLOOKUP(D38,'Stock Master'!$A$2:$L$49,5,FALSE),"")</f>
        <v/>
      </c>
      <c r="G38" s="51" t="n"/>
      <c r="H38" s="51" t="n"/>
      <c r="I38" s="51">
        <f>IFERROR(G38+H38,0)</f>
        <v/>
      </c>
      <c r="J38" s="51">
        <f>IFERROR(F38*G38,0)</f>
        <v/>
      </c>
      <c r="K38" s="51">
        <f>IFERROR(F38*H38,0)</f>
        <v/>
      </c>
      <c r="L38" s="49" t="n"/>
      <c r="M38" s="49" t="n"/>
    </row>
    <row r="39">
      <c r="A39" s="52" t="n"/>
      <c r="B39" s="49" t="n"/>
      <c r="C39" s="49" t="n"/>
      <c r="D39" s="49" t="n"/>
      <c r="E39" s="49">
        <f>IFERROR(VLOOKUP(D39,'Stock Master'!$A$2:$L$49,2,FALSE),"")</f>
        <v/>
      </c>
      <c r="F39" s="51">
        <f>IFERROR(VLOOKUP(D39,'Stock Master'!$A$2:$L$49,5,FALSE),"")</f>
        <v/>
      </c>
      <c r="G39" s="51" t="n"/>
      <c r="H39" s="51" t="n"/>
      <c r="I39" s="51">
        <f>IFERROR(G39+H39,0)</f>
        <v/>
      </c>
      <c r="J39" s="51">
        <f>IFERROR(F39*G39,0)</f>
        <v/>
      </c>
      <c r="K39" s="51">
        <f>IFERROR(F39*H39,0)</f>
        <v/>
      </c>
      <c r="L39" s="49" t="n"/>
      <c r="M39" s="49" t="n"/>
    </row>
    <row r="40">
      <c r="A40" s="52" t="n"/>
      <c r="B40" s="49" t="n"/>
      <c r="C40" s="49" t="n"/>
      <c r="D40" s="49" t="n"/>
      <c r="E40" s="49">
        <f>IFERROR(VLOOKUP(D40,'Stock Master'!$A$2:$L$49,2,FALSE),"")</f>
        <v/>
      </c>
      <c r="F40" s="51">
        <f>IFERROR(VLOOKUP(D40,'Stock Master'!$A$2:$L$49,5,FALSE),"")</f>
        <v/>
      </c>
      <c r="G40" s="51" t="n"/>
      <c r="H40" s="51" t="n"/>
      <c r="I40" s="51">
        <f>IFERROR(G40+H40,0)</f>
        <v/>
      </c>
      <c r="J40" s="51">
        <f>IFERROR(F40*G40,0)</f>
        <v/>
      </c>
      <c r="K40" s="51">
        <f>IFERROR(F40*H40,0)</f>
        <v/>
      </c>
      <c r="L40" s="49" t="n"/>
      <c r="M40" s="49" t="n"/>
    </row>
    <row r="41">
      <c r="A41" s="52" t="n"/>
      <c r="B41" s="49" t="n"/>
      <c r="C41" s="49" t="n"/>
      <c r="D41" s="49" t="n"/>
      <c r="E41" s="49">
        <f>IFERROR(VLOOKUP(D41,'Stock Master'!$A$2:$L$49,2,FALSE),"")</f>
        <v/>
      </c>
      <c r="F41" s="51">
        <f>IFERROR(VLOOKUP(D41,'Stock Master'!$A$2:$L$49,5,FALSE),"")</f>
        <v/>
      </c>
      <c r="G41" s="51" t="n"/>
      <c r="H41" s="51" t="n"/>
      <c r="I41" s="51">
        <f>IFERROR(G41+H41,0)</f>
        <v/>
      </c>
      <c r="J41" s="51">
        <f>IFERROR(F41*G41,0)</f>
        <v/>
      </c>
      <c r="K41" s="51">
        <f>IFERROR(F41*H41,0)</f>
        <v/>
      </c>
      <c r="L41" s="49" t="n"/>
      <c r="M41" s="49" t="n"/>
    </row>
    <row r="42">
      <c r="A42" s="52" t="n"/>
      <c r="B42" s="49" t="n"/>
      <c r="C42" s="49" t="n"/>
      <c r="D42" s="49" t="n"/>
      <c r="E42" s="49">
        <f>IFERROR(VLOOKUP(D42,'Stock Master'!$A$2:$L$49,2,FALSE),"")</f>
        <v/>
      </c>
      <c r="F42" s="51">
        <f>IFERROR(VLOOKUP(D42,'Stock Master'!$A$2:$L$49,5,FALSE),"")</f>
        <v/>
      </c>
      <c r="G42" s="51" t="n"/>
      <c r="H42" s="51" t="n"/>
      <c r="I42" s="51">
        <f>IFERROR(G42+H42,0)</f>
        <v/>
      </c>
      <c r="J42" s="51">
        <f>IFERROR(F42*G42,0)</f>
        <v/>
      </c>
      <c r="K42" s="51">
        <f>IFERROR(F42*H42,0)</f>
        <v/>
      </c>
      <c r="L42" s="49" t="n"/>
      <c r="M42" s="49" t="n"/>
    </row>
    <row r="43">
      <c r="A43" s="52" t="n"/>
      <c r="B43" s="49" t="n"/>
      <c r="C43" s="49" t="n"/>
      <c r="D43" s="49" t="n"/>
      <c r="E43" s="49">
        <f>IFERROR(VLOOKUP(D43,'Stock Master'!$A$2:$L$49,2,FALSE),"")</f>
        <v/>
      </c>
      <c r="F43" s="51">
        <f>IFERROR(VLOOKUP(D43,'Stock Master'!$A$2:$L$49,5,FALSE),"")</f>
        <v/>
      </c>
      <c r="G43" s="51" t="n"/>
      <c r="H43" s="51" t="n"/>
      <c r="I43" s="51">
        <f>IFERROR(G43+H43,0)</f>
        <v/>
      </c>
      <c r="J43" s="51">
        <f>IFERROR(F43*G43,0)</f>
        <v/>
      </c>
      <c r="K43" s="51">
        <f>IFERROR(F43*H43,0)</f>
        <v/>
      </c>
      <c r="L43" s="49" t="n"/>
      <c r="M43" s="49" t="n"/>
    </row>
    <row r="44">
      <c r="A44" s="52" t="n"/>
      <c r="B44" s="49" t="n"/>
      <c r="C44" s="49" t="n"/>
      <c r="D44" s="49" t="n"/>
      <c r="E44" s="49">
        <f>IFERROR(VLOOKUP(D44,'Stock Master'!$A$2:$L$49,2,FALSE),"")</f>
        <v/>
      </c>
      <c r="F44" s="51">
        <f>IFERROR(VLOOKUP(D44,'Stock Master'!$A$2:$L$49,5,FALSE),"")</f>
        <v/>
      </c>
      <c r="G44" s="51" t="n"/>
      <c r="H44" s="51" t="n"/>
      <c r="I44" s="51">
        <f>IFERROR(G44+H44,0)</f>
        <v/>
      </c>
      <c r="J44" s="51">
        <f>IFERROR(F44*G44,0)</f>
        <v/>
      </c>
      <c r="K44" s="51">
        <f>IFERROR(F44*H44,0)</f>
        <v/>
      </c>
      <c r="L44" s="49" t="n"/>
      <c r="M44" s="49" t="n"/>
    </row>
    <row r="45">
      <c r="A45" s="52" t="n"/>
      <c r="B45" s="49" t="n"/>
      <c r="C45" s="49" t="n"/>
      <c r="D45" s="49" t="n"/>
      <c r="E45" s="49">
        <f>IFERROR(VLOOKUP(D45,'Stock Master'!$A$2:$L$49,2,FALSE),"")</f>
        <v/>
      </c>
      <c r="F45" s="51">
        <f>IFERROR(VLOOKUP(D45,'Stock Master'!$A$2:$L$49,5,FALSE),"")</f>
        <v/>
      </c>
      <c r="G45" s="51" t="n"/>
      <c r="H45" s="51" t="n"/>
      <c r="I45" s="51">
        <f>IFERROR(G45+H45,0)</f>
        <v/>
      </c>
      <c r="J45" s="51">
        <f>IFERROR(F45*G45,0)</f>
        <v/>
      </c>
      <c r="K45" s="51">
        <f>IFERROR(F45*H45,0)</f>
        <v/>
      </c>
      <c r="L45" s="49" t="n"/>
      <c r="M45" s="49" t="n"/>
    </row>
    <row r="46">
      <c r="A46" s="52" t="n"/>
      <c r="B46" s="49" t="n"/>
      <c r="C46" s="49" t="n"/>
      <c r="D46" s="49" t="n"/>
      <c r="E46" s="49">
        <f>IFERROR(VLOOKUP(D46,'Stock Master'!$A$2:$L$49,2,FALSE),"")</f>
        <v/>
      </c>
      <c r="F46" s="51">
        <f>IFERROR(VLOOKUP(D46,'Stock Master'!$A$2:$L$49,5,FALSE),"")</f>
        <v/>
      </c>
      <c r="G46" s="51" t="n"/>
      <c r="H46" s="51" t="n"/>
      <c r="I46" s="51">
        <f>IFERROR(G46+H46,0)</f>
        <v/>
      </c>
      <c r="J46" s="51">
        <f>IFERROR(F46*G46,0)</f>
        <v/>
      </c>
      <c r="K46" s="51">
        <f>IFERROR(F46*H46,0)</f>
        <v/>
      </c>
      <c r="L46" s="49" t="n"/>
      <c r="M46" s="49" t="n"/>
    </row>
    <row r="47">
      <c r="A47" s="52" t="n"/>
      <c r="B47" s="49" t="n"/>
      <c r="C47" s="49" t="n"/>
      <c r="D47" s="49" t="n"/>
      <c r="E47" s="49">
        <f>IFERROR(VLOOKUP(D47,'Stock Master'!$A$2:$L$49,2,FALSE),"")</f>
        <v/>
      </c>
      <c r="F47" s="51">
        <f>IFERROR(VLOOKUP(D47,'Stock Master'!$A$2:$L$49,5,FALSE),"")</f>
        <v/>
      </c>
      <c r="G47" s="51" t="n"/>
      <c r="H47" s="51" t="n"/>
      <c r="I47" s="51">
        <f>IFERROR(G47+H47,0)</f>
        <v/>
      </c>
      <c r="J47" s="51">
        <f>IFERROR(F47*G47,0)</f>
        <v/>
      </c>
      <c r="K47" s="51">
        <f>IFERROR(F47*H47,0)</f>
        <v/>
      </c>
      <c r="L47" s="49" t="n"/>
      <c r="M47" s="49" t="n"/>
    </row>
    <row r="48">
      <c r="A48" s="52" t="n"/>
      <c r="B48" s="49" t="n"/>
      <c r="C48" s="49" t="n"/>
      <c r="D48" s="49" t="n"/>
      <c r="E48" s="49">
        <f>IFERROR(VLOOKUP(D48,'Stock Master'!$A$2:$L$49,2,FALSE),"")</f>
        <v/>
      </c>
      <c r="F48" s="51">
        <f>IFERROR(VLOOKUP(D48,'Stock Master'!$A$2:$L$49,5,FALSE),"")</f>
        <v/>
      </c>
      <c r="G48" s="51" t="n"/>
      <c r="H48" s="51" t="n"/>
      <c r="I48" s="51">
        <f>IFERROR(G48+H48,0)</f>
        <v/>
      </c>
      <c r="J48" s="51">
        <f>IFERROR(F48*G48,0)</f>
        <v/>
      </c>
      <c r="K48" s="51">
        <f>IFERROR(F48*H48,0)</f>
        <v/>
      </c>
      <c r="L48" s="49" t="n"/>
      <c r="M48" s="49" t="n"/>
    </row>
    <row r="49">
      <c r="A49" s="52" t="n"/>
      <c r="B49" s="49" t="n"/>
      <c r="C49" s="49" t="n"/>
      <c r="D49" s="49" t="n"/>
      <c r="E49" s="49">
        <f>IFERROR(VLOOKUP(D49,'Stock Master'!$A$2:$L$49,2,FALSE),"")</f>
        <v/>
      </c>
      <c r="F49" s="51">
        <f>IFERROR(VLOOKUP(D49,'Stock Master'!$A$2:$L$49,5,FALSE),"")</f>
        <v/>
      </c>
      <c r="G49" s="51" t="n"/>
      <c r="H49" s="51" t="n"/>
      <c r="I49" s="51">
        <f>IFERROR(G49+H49,0)</f>
        <v/>
      </c>
      <c r="J49" s="51">
        <f>IFERROR(F49*G49,0)</f>
        <v/>
      </c>
      <c r="K49" s="51">
        <f>IFERROR(F49*H49,0)</f>
        <v/>
      </c>
      <c r="L49" s="49" t="n"/>
      <c r="M49" s="49" t="n"/>
    </row>
    <row r="50">
      <c r="A50" s="52" t="n"/>
      <c r="B50" s="49" t="n"/>
      <c r="C50" s="49" t="n"/>
      <c r="D50" s="49" t="n"/>
      <c r="E50" s="49">
        <f>IFERROR(VLOOKUP(D50,'Stock Master'!$A$2:$L$49,2,FALSE),"")</f>
        <v/>
      </c>
      <c r="F50" s="51">
        <f>IFERROR(VLOOKUP(D50,'Stock Master'!$A$2:$L$49,5,FALSE),"")</f>
        <v/>
      </c>
      <c r="G50" s="51" t="n"/>
      <c r="H50" s="51" t="n"/>
      <c r="I50" s="51">
        <f>IFERROR(G50+H50,0)</f>
        <v/>
      </c>
      <c r="J50" s="51">
        <f>IFERROR(F50*G50,0)</f>
        <v/>
      </c>
      <c r="K50" s="51">
        <f>IFERROR(F50*H50,0)</f>
        <v/>
      </c>
      <c r="L50" s="49" t="n"/>
      <c r="M50" s="49" t="n"/>
    </row>
    <row r="51">
      <c r="A51" s="52" t="n"/>
      <c r="B51" s="49" t="n"/>
      <c r="C51" s="49" t="n"/>
      <c r="D51" s="49" t="n"/>
      <c r="E51" s="49">
        <f>IFERROR(VLOOKUP(D51,'Stock Master'!$A$2:$L$49,2,FALSE),"")</f>
        <v/>
      </c>
      <c r="F51" s="51">
        <f>IFERROR(VLOOKUP(D51,'Stock Master'!$A$2:$L$49,5,FALSE),"")</f>
        <v/>
      </c>
      <c r="G51" s="51" t="n"/>
      <c r="H51" s="51" t="n"/>
      <c r="I51" s="51">
        <f>IFERROR(G51+H51,0)</f>
        <v/>
      </c>
      <c r="J51" s="51">
        <f>IFERROR(F51*G51,0)</f>
        <v/>
      </c>
      <c r="K51" s="51">
        <f>IFERROR(F51*H51,0)</f>
        <v/>
      </c>
      <c r="L51" s="49" t="n"/>
      <c r="M51" s="49" t="n"/>
    </row>
    <row r="52">
      <c r="A52" s="52" t="n"/>
      <c r="B52" s="49" t="n"/>
      <c r="C52" s="49" t="n"/>
      <c r="D52" s="49" t="n"/>
      <c r="E52" s="49">
        <f>IFERROR(VLOOKUP(D52,'Stock Master'!$A$2:$L$49,2,FALSE),"")</f>
        <v/>
      </c>
      <c r="F52" s="51">
        <f>IFERROR(VLOOKUP(D52,'Stock Master'!$A$2:$L$49,5,FALSE),"")</f>
        <v/>
      </c>
      <c r="G52" s="51" t="n"/>
      <c r="H52" s="51" t="n"/>
      <c r="I52" s="51">
        <f>IFERROR(G52+H52,0)</f>
        <v/>
      </c>
      <c r="J52" s="51">
        <f>IFERROR(F52*G52,0)</f>
        <v/>
      </c>
      <c r="K52" s="51">
        <f>IFERROR(F52*H52,0)</f>
        <v/>
      </c>
      <c r="L52" s="49" t="n"/>
      <c r="M52" s="49" t="n"/>
    </row>
    <row r="53">
      <c r="A53" s="52" t="n"/>
      <c r="B53" s="49" t="n"/>
      <c r="C53" s="49" t="n"/>
      <c r="D53" s="49" t="n"/>
      <c r="E53" s="49">
        <f>IFERROR(VLOOKUP(D53,'Stock Master'!$A$2:$L$49,2,FALSE),"")</f>
        <v/>
      </c>
      <c r="F53" s="51">
        <f>IFERROR(VLOOKUP(D53,'Stock Master'!$A$2:$L$49,5,FALSE),"")</f>
        <v/>
      </c>
      <c r="G53" s="51" t="n"/>
      <c r="H53" s="51" t="n"/>
      <c r="I53" s="51">
        <f>IFERROR(G53+H53,0)</f>
        <v/>
      </c>
      <c r="J53" s="51">
        <f>IFERROR(F53*G53,0)</f>
        <v/>
      </c>
      <c r="K53" s="51">
        <f>IFERROR(F53*H53,0)</f>
        <v/>
      </c>
      <c r="L53" s="49" t="n"/>
      <c r="M53" s="49" t="n"/>
    </row>
    <row r="54">
      <c r="A54" s="52" t="n"/>
      <c r="B54" s="49" t="n"/>
      <c r="C54" s="49" t="n"/>
      <c r="D54" s="49" t="n"/>
      <c r="E54" s="49">
        <f>IFERROR(VLOOKUP(D54,'Stock Master'!$A$2:$L$49,2,FALSE),"")</f>
        <v/>
      </c>
      <c r="F54" s="51">
        <f>IFERROR(VLOOKUP(D54,'Stock Master'!$A$2:$L$49,5,FALSE),"")</f>
        <v/>
      </c>
      <c r="G54" s="51" t="n"/>
      <c r="H54" s="51" t="n"/>
      <c r="I54" s="51">
        <f>IFERROR(G54+H54,0)</f>
        <v/>
      </c>
      <c r="J54" s="51">
        <f>IFERROR(F54*G54,0)</f>
        <v/>
      </c>
      <c r="K54" s="51">
        <f>IFERROR(F54*H54,0)</f>
        <v/>
      </c>
      <c r="L54" s="49" t="n"/>
      <c r="M54" s="49" t="n"/>
    </row>
    <row r="55">
      <c r="A55" s="52" t="n"/>
      <c r="B55" s="49" t="n"/>
      <c r="C55" s="49" t="n"/>
      <c r="D55" s="49" t="n"/>
      <c r="E55" s="49">
        <f>IFERROR(VLOOKUP(D55,'Stock Master'!$A$2:$L$49,2,FALSE),"")</f>
        <v/>
      </c>
      <c r="F55" s="51">
        <f>IFERROR(VLOOKUP(D55,'Stock Master'!$A$2:$L$49,5,FALSE),"")</f>
        <v/>
      </c>
      <c r="G55" s="51" t="n"/>
      <c r="H55" s="51" t="n"/>
      <c r="I55" s="51">
        <f>IFERROR(G55+H55,0)</f>
        <v/>
      </c>
      <c r="J55" s="51">
        <f>IFERROR(F55*G55,0)</f>
        <v/>
      </c>
      <c r="K55" s="51">
        <f>IFERROR(F55*H55,0)</f>
        <v/>
      </c>
      <c r="L55" s="49" t="n"/>
      <c r="M55" s="49" t="n"/>
    </row>
    <row r="56">
      <c r="A56" s="52" t="n"/>
      <c r="B56" s="49" t="n"/>
      <c r="C56" s="49" t="n"/>
      <c r="D56" s="49" t="n"/>
      <c r="E56" s="49">
        <f>IFERROR(VLOOKUP(D56,'Stock Master'!$A$2:$L$49,2,FALSE),"")</f>
        <v/>
      </c>
      <c r="F56" s="51">
        <f>IFERROR(VLOOKUP(D56,'Stock Master'!$A$2:$L$49,5,FALSE),"")</f>
        <v/>
      </c>
      <c r="G56" s="51" t="n"/>
      <c r="H56" s="51" t="n"/>
      <c r="I56" s="51">
        <f>IFERROR(G56+H56,0)</f>
        <v/>
      </c>
      <c r="J56" s="51">
        <f>IFERROR(F56*G56,0)</f>
        <v/>
      </c>
      <c r="K56" s="51">
        <f>IFERROR(F56*H56,0)</f>
        <v/>
      </c>
      <c r="L56" s="49" t="n"/>
      <c r="M56" s="49" t="n"/>
    </row>
    <row r="57">
      <c r="A57" s="52" t="n"/>
      <c r="B57" s="49" t="n"/>
      <c r="C57" s="49" t="n"/>
      <c r="D57" s="49" t="n"/>
      <c r="E57" s="49">
        <f>IFERROR(VLOOKUP(D57,'Stock Master'!$A$2:$L$49,2,FALSE),"")</f>
        <v/>
      </c>
      <c r="F57" s="51">
        <f>IFERROR(VLOOKUP(D57,'Stock Master'!$A$2:$L$49,5,FALSE),"")</f>
        <v/>
      </c>
      <c r="G57" s="51" t="n"/>
      <c r="H57" s="51" t="n"/>
      <c r="I57" s="51">
        <f>IFERROR(G57+H57,0)</f>
        <v/>
      </c>
      <c r="J57" s="51">
        <f>IFERROR(F57*G57,0)</f>
        <v/>
      </c>
      <c r="K57" s="51">
        <f>IFERROR(F57*H57,0)</f>
        <v/>
      </c>
      <c r="L57" s="49" t="n"/>
      <c r="M57" s="49" t="n"/>
    </row>
    <row r="58">
      <c r="A58" s="52" t="n"/>
      <c r="B58" s="49" t="n"/>
      <c r="C58" s="49" t="n"/>
      <c r="D58" s="49" t="n"/>
      <c r="E58" s="49">
        <f>IFERROR(VLOOKUP(D58,'Stock Master'!$A$2:$L$49,2,FALSE),"")</f>
        <v/>
      </c>
      <c r="F58" s="51">
        <f>IFERROR(VLOOKUP(D58,'Stock Master'!$A$2:$L$49,5,FALSE),"")</f>
        <v/>
      </c>
      <c r="G58" s="51" t="n"/>
      <c r="H58" s="51" t="n"/>
      <c r="I58" s="51">
        <f>IFERROR(G58+H58,0)</f>
        <v/>
      </c>
      <c r="J58" s="51">
        <f>IFERROR(F58*G58,0)</f>
        <v/>
      </c>
      <c r="K58" s="51">
        <f>IFERROR(F58*H58,0)</f>
        <v/>
      </c>
      <c r="L58" s="49" t="n"/>
      <c r="M58" s="49" t="n"/>
    </row>
    <row r="59">
      <c r="A59" s="52" t="n"/>
      <c r="B59" s="49" t="n"/>
      <c r="C59" s="49" t="n"/>
      <c r="D59" s="49" t="n"/>
      <c r="E59" s="49">
        <f>IFERROR(VLOOKUP(D59,'Stock Master'!$A$2:$L$49,2,FALSE),"")</f>
        <v/>
      </c>
      <c r="F59" s="51">
        <f>IFERROR(VLOOKUP(D59,'Stock Master'!$A$2:$L$49,5,FALSE),"")</f>
        <v/>
      </c>
      <c r="G59" s="51" t="n"/>
      <c r="H59" s="51" t="n"/>
      <c r="I59" s="51">
        <f>IFERROR(G59+H59,0)</f>
        <v/>
      </c>
      <c r="J59" s="51">
        <f>IFERROR(F59*G59,0)</f>
        <v/>
      </c>
      <c r="K59" s="51">
        <f>IFERROR(F59*H59,0)</f>
        <v/>
      </c>
      <c r="L59" s="49" t="n"/>
      <c r="M59" s="49" t="n"/>
    </row>
    <row r="60">
      <c r="A60" s="52" t="n"/>
      <c r="B60" s="49" t="n"/>
      <c r="C60" s="49" t="n"/>
      <c r="D60" s="49" t="n"/>
      <c r="E60" s="49">
        <f>IFERROR(VLOOKUP(D60,'Stock Master'!$A$2:$L$49,2,FALSE),"")</f>
        <v/>
      </c>
      <c r="F60" s="51">
        <f>IFERROR(VLOOKUP(D60,'Stock Master'!$A$2:$L$49,5,FALSE),"")</f>
        <v/>
      </c>
      <c r="G60" s="51" t="n"/>
      <c r="H60" s="51" t="n"/>
      <c r="I60" s="51">
        <f>IFERROR(G60+H60,0)</f>
        <v/>
      </c>
      <c r="J60" s="51">
        <f>IFERROR(F60*G60,0)</f>
        <v/>
      </c>
      <c r="K60" s="51">
        <f>IFERROR(F60*H60,0)</f>
        <v/>
      </c>
      <c r="L60" s="49" t="n"/>
      <c r="M60" s="49" t="n"/>
    </row>
    <row r="61">
      <c r="A61" s="52" t="n"/>
      <c r="B61" s="49" t="n"/>
      <c r="C61" s="49" t="n"/>
      <c r="D61" s="49" t="n"/>
      <c r="E61" s="49">
        <f>IFERROR(VLOOKUP(D61,'Stock Master'!$A$2:$L$49,2,FALSE),"")</f>
        <v/>
      </c>
      <c r="F61" s="51">
        <f>IFERROR(VLOOKUP(D61,'Stock Master'!$A$2:$L$49,5,FALSE),"")</f>
        <v/>
      </c>
      <c r="G61" s="51" t="n"/>
      <c r="H61" s="51" t="n"/>
      <c r="I61" s="51">
        <f>IFERROR(G61+H61,0)</f>
        <v/>
      </c>
      <c r="J61" s="51">
        <f>IFERROR(F61*G61,0)</f>
        <v/>
      </c>
      <c r="K61" s="51">
        <f>IFERROR(F61*H61,0)</f>
        <v/>
      </c>
      <c r="L61" s="49" t="n"/>
      <c r="M61" s="49" t="n"/>
    </row>
    <row r="62">
      <c r="A62" s="52" t="n"/>
      <c r="B62" s="49" t="n"/>
      <c r="C62" s="49" t="n"/>
      <c r="D62" s="49" t="n"/>
      <c r="E62" s="49">
        <f>IFERROR(VLOOKUP(D62,'Stock Master'!$A$2:$L$49,2,FALSE),"")</f>
        <v/>
      </c>
      <c r="F62" s="51">
        <f>IFERROR(VLOOKUP(D62,'Stock Master'!$A$2:$L$49,5,FALSE),"")</f>
        <v/>
      </c>
      <c r="G62" s="51" t="n"/>
      <c r="H62" s="51" t="n"/>
      <c r="I62" s="51">
        <f>IFERROR(G62+H62,0)</f>
        <v/>
      </c>
      <c r="J62" s="51">
        <f>IFERROR(F62*G62,0)</f>
        <v/>
      </c>
      <c r="K62" s="51">
        <f>IFERROR(F62*H62,0)</f>
        <v/>
      </c>
      <c r="L62" s="49" t="n"/>
      <c r="M62" s="49" t="n"/>
    </row>
    <row r="63">
      <c r="A63" s="52" t="n"/>
      <c r="B63" s="49" t="n"/>
      <c r="C63" s="49" t="n"/>
      <c r="D63" s="49" t="n"/>
      <c r="E63" s="49">
        <f>IFERROR(VLOOKUP(D63,'Stock Master'!$A$2:$L$49,2,FALSE),"")</f>
        <v/>
      </c>
      <c r="F63" s="51">
        <f>IFERROR(VLOOKUP(D63,'Stock Master'!$A$2:$L$49,5,FALSE),"")</f>
        <v/>
      </c>
      <c r="G63" s="51" t="n"/>
      <c r="H63" s="51" t="n"/>
      <c r="I63" s="51">
        <f>IFERROR(G63+H63,0)</f>
        <v/>
      </c>
      <c r="J63" s="51">
        <f>IFERROR(F63*G63,0)</f>
        <v/>
      </c>
      <c r="K63" s="51">
        <f>IFERROR(F63*H63,0)</f>
        <v/>
      </c>
      <c r="L63" s="49" t="n"/>
      <c r="M63" s="49" t="n"/>
    </row>
    <row r="64">
      <c r="A64" s="52" t="n"/>
      <c r="B64" s="49" t="n"/>
      <c r="C64" s="49" t="n"/>
      <c r="D64" s="49" t="n"/>
      <c r="E64" s="49">
        <f>IFERROR(VLOOKUP(D64,'Stock Master'!$A$2:$L$49,2,FALSE),"")</f>
        <v/>
      </c>
      <c r="F64" s="51">
        <f>IFERROR(VLOOKUP(D64,'Stock Master'!$A$2:$L$49,5,FALSE),"")</f>
        <v/>
      </c>
      <c r="G64" s="51" t="n"/>
      <c r="H64" s="51" t="n"/>
      <c r="I64" s="51">
        <f>IFERROR(G64+H64,0)</f>
        <v/>
      </c>
      <c r="J64" s="51">
        <f>IFERROR(F64*G64,0)</f>
        <v/>
      </c>
      <c r="K64" s="51">
        <f>IFERROR(F64*H64,0)</f>
        <v/>
      </c>
      <c r="L64" s="49" t="n"/>
      <c r="M64" s="49" t="n"/>
    </row>
    <row r="65">
      <c r="A65" s="52" t="n"/>
      <c r="B65" s="49" t="n"/>
      <c r="C65" s="49" t="n"/>
      <c r="D65" s="49" t="n"/>
      <c r="E65" s="49">
        <f>IFERROR(VLOOKUP(D65,'Stock Master'!$A$2:$L$49,2,FALSE),"")</f>
        <v/>
      </c>
      <c r="F65" s="51">
        <f>IFERROR(VLOOKUP(D65,'Stock Master'!$A$2:$L$49,5,FALSE),"")</f>
        <v/>
      </c>
      <c r="G65" s="51" t="n"/>
      <c r="H65" s="51" t="n"/>
      <c r="I65" s="51">
        <f>IFERROR(G65+H65,0)</f>
        <v/>
      </c>
      <c r="J65" s="51">
        <f>IFERROR(F65*G65,0)</f>
        <v/>
      </c>
      <c r="K65" s="51">
        <f>IFERROR(F65*H65,0)</f>
        <v/>
      </c>
      <c r="L65" s="49" t="n"/>
      <c r="M65" s="49" t="n"/>
    </row>
    <row r="66">
      <c r="A66" s="52" t="n"/>
      <c r="B66" s="49" t="n"/>
      <c r="C66" s="49" t="n"/>
      <c r="D66" s="49" t="n"/>
      <c r="E66" s="49">
        <f>IFERROR(VLOOKUP(D66,'Stock Master'!$A$2:$L$49,2,FALSE),"")</f>
        <v/>
      </c>
      <c r="F66" s="51">
        <f>IFERROR(VLOOKUP(D66,'Stock Master'!$A$2:$L$49,5,FALSE),"")</f>
        <v/>
      </c>
      <c r="G66" s="51" t="n"/>
      <c r="H66" s="51" t="n"/>
      <c r="I66" s="51">
        <f>IFERROR(G66+H66,0)</f>
        <v/>
      </c>
      <c r="J66" s="51">
        <f>IFERROR(F66*G66,0)</f>
        <v/>
      </c>
      <c r="K66" s="51">
        <f>IFERROR(F66*H66,0)</f>
        <v/>
      </c>
      <c r="L66" s="49" t="n"/>
      <c r="M66" s="49" t="n"/>
    </row>
    <row r="67">
      <c r="A67" s="52" t="n"/>
      <c r="B67" s="49" t="n"/>
      <c r="C67" s="49" t="n"/>
      <c r="D67" s="49" t="n"/>
      <c r="E67" s="49">
        <f>IFERROR(VLOOKUP(D67,'Stock Master'!$A$2:$L$49,2,FALSE),"")</f>
        <v/>
      </c>
      <c r="F67" s="51">
        <f>IFERROR(VLOOKUP(D67,'Stock Master'!$A$2:$L$49,5,FALSE),"")</f>
        <v/>
      </c>
      <c r="G67" s="51" t="n"/>
      <c r="H67" s="51" t="n"/>
      <c r="I67" s="51">
        <f>IFERROR(G67+H67,0)</f>
        <v/>
      </c>
      <c r="J67" s="51">
        <f>IFERROR(F67*G67,0)</f>
        <v/>
      </c>
      <c r="K67" s="51">
        <f>IFERROR(F67*H67,0)</f>
        <v/>
      </c>
      <c r="L67" s="49" t="n"/>
      <c r="M67" s="49" t="n"/>
    </row>
    <row r="68">
      <c r="A68" s="52" t="n"/>
      <c r="B68" s="49" t="n"/>
      <c r="C68" s="49" t="n"/>
      <c r="D68" s="49" t="n"/>
      <c r="E68" s="49">
        <f>IFERROR(VLOOKUP(D68,'Stock Master'!$A$2:$L$49,2,FALSE),"")</f>
        <v/>
      </c>
      <c r="F68" s="51">
        <f>IFERROR(VLOOKUP(D68,'Stock Master'!$A$2:$L$49,5,FALSE),"")</f>
        <v/>
      </c>
      <c r="G68" s="51" t="n"/>
      <c r="H68" s="51" t="n"/>
      <c r="I68" s="51">
        <f>IFERROR(G68+H68,0)</f>
        <v/>
      </c>
      <c r="J68" s="51">
        <f>IFERROR(F68*G68,0)</f>
        <v/>
      </c>
      <c r="K68" s="51">
        <f>IFERROR(F68*H68,0)</f>
        <v/>
      </c>
      <c r="L68" s="49" t="n"/>
      <c r="M68" s="49" t="n"/>
    </row>
    <row r="69">
      <c r="A69" s="52" t="n"/>
      <c r="B69" s="49" t="n"/>
      <c r="C69" s="49" t="n"/>
      <c r="D69" s="49" t="n"/>
      <c r="E69" s="49">
        <f>IFERROR(VLOOKUP(D69,'Stock Master'!$A$2:$L$49,2,FALSE),"")</f>
        <v/>
      </c>
      <c r="F69" s="51">
        <f>IFERROR(VLOOKUP(D69,'Stock Master'!$A$2:$L$49,5,FALSE),"")</f>
        <v/>
      </c>
      <c r="G69" s="51" t="n"/>
      <c r="H69" s="51" t="n"/>
      <c r="I69" s="51">
        <f>IFERROR(G69+H69,0)</f>
        <v/>
      </c>
      <c r="J69" s="51">
        <f>IFERROR(F69*G69,0)</f>
        <v/>
      </c>
      <c r="K69" s="51">
        <f>IFERROR(F69*H69,0)</f>
        <v/>
      </c>
      <c r="L69" s="49" t="n"/>
      <c r="M69" s="49" t="n"/>
    </row>
    <row r="70">
      <c r="A70" s="52" t="n"/>
      <c r="B70" s="49" t="n"/>
      <c r="C70" s="49" t="n"/>
      <c r="D70" s="49" t="n"/>
      <c r="E70" s="49">
        <f>IFERROR(VLOOKUP(D70,'Stock Master'!$A$2:$L$49,2,FALSE),"")</f>
        <v/>
      </c>
      <c r="F70" s="51">
        <f>IFERROR(VLOOKUP(D70,'Stock Master'!$A$2:$L$49,5,FALSE),"")</f>
        <v/>
      </c>
      <c r="G70" s="51" t="n"/>
      <c r="H70" s="51" t="n"/>
      <c r="I70" s="51">
        <f>IFERROR(G70+H70,0)</f>
        <v/>
      </c>
      <c r="J70" s="51">
        <f>IFERROR(F70*G70,0)</f>
        <v/>
      </c>
      <c r="K70" s="51">
        <f>IFERROR(F70*H70,0)</f>
        <v/>
      </c>
      <c r="L70" s="49" t="n"/>
      <c r="M70" s="49" t="n"/>
    </row>
    <row r="71">
      <c r="A71" s="52" t="n"/>
      <c r="B71" s="49" t="n"/>
      <c r="C71" s="49" t="n"/>
      <c r="D71" s="49" t="n"/>
      <c r="E71" s="49">
        <f>IFERROR(VLOOKUP(D71,'Stock Master'!$A$2:$L$49,2,FALSE),"")</f>
        <v/>
      </c>
      <c r="F71" s="51">
        <f>IFERROR(VLOOKUP(D71,'Stock Master'!$A$2:$L$49,5,FALSE),"")</f>
        <v/>
      </c>
      <c r="G71" s="51" t="n"/>
      <c r="H71" s="51" t="n"/>
      <c r="I71" s="51">
        <f>IFERROR(G71+H71,0)</f>
        <v/>
      </c>
      <c r="J71" s="51">
        <f>IFERROR(F71*G71,0)</f>
        <v/>
      </c>
      <c r="K71" s="51">
        <f>IFERROR(F71*H71,0)</f>
        <v/>
      </c>
      <c r="L71" s="49" t="n"/>
      <c r="M71" s="49" t="n"/>
    </row>
    <row r="72">
      <c r="A72" s="52" t="n"/>
      <c r="B72" s="49" t="n"/>
      <c r="C72" s="49" t="n"/>
      <c r="D72" s="49" t="n"/>
      <c r="E72" s="49">
        <f>IFERROR(VLOOKUP(D72,'Stock Master'!$A$2:$L$49,2,FALSE),"")</f>
        <v/>
      </c>
      <c r="F72" s="51">
        <f>IFERROR(VLOOKUP(D72,'Stock Master'!$A$2:$L$49,5,FALSE),"")</f>
        <v/>
      </c>
      <c r="G72" s="51" t="n"/>
      <c r="H72" s="51" t="n"/>
      <c r="I72" s="51">
        <f>IFERROR(G72+H72,0)</f>
        <v/>
      </c>
      <c r="J72" s="51">
        <f>IFERROR(F72*G72,0)</f>
        <v/>
      </c>
      <c r="K72" s="51">
        <f>IFERROR(F72*H72,0)</f>
        <v/>
      </c>
      <c r="L72" s="49" t="n"/>
      <c r="M72" s="49" t="n"/>
    </row>
    <row r="73">
      <c r="A73" s="52" t="n"/>
      <c r="B73" s="49" t="n"/>
      <c r="C73" s="49" t="n"/>
      <c r="D73" s="49" t="n"/>
      <c r="E73" s="49">
        <f>IFERROR(VLOOKUP(D73,'Stock Master'!$A$2:$L$49,2,FALSE),"")</f>
        <v/>
      </c>
      <c r="F73" s="51">
        <f>IFERROR(VLOOKUP(D73,'Stock Master'!$A$2:$L$49,5,FALSE),"")</f>
        <v/>
      </c>
      <c r="G73" s="51" t="n"/>
      <c r="H73" s="51" t="n"/>
      <c r="I73" s="51">
        <f>IFERROR(G73+H73,0)</f>
        <v/>
      </c>
      <c r="J73" s="51">
        <f>IFERROR(F73*G73,0)</f>
        <v/>
      </c>
      <c r="K73" s="51">
        <f>IFERROR(F73*H73,0)</f>
        <v/>
      </c>
      <c r="L73" s="49" t="n"/>
      <c r="M73" s="49" t="n"/>
    </row>
    <row r="74">
      <c r="A74" s="52" t="n"/>
      <c r="B74" s="49" t="n"/>
      <c r="C74" s="49" t="n"/>
      <c r="D74" s="49" t="n"/>
      <c r="E74" s="49">
        <f>IFERROR(VLOOKUP(D74,'Stock Master'!$A$2:$L$49,2,FALSE),"")</f>
        <v/>
      </c>
      <c r="F74" s="51">
        <f>IFERROR(VLOOKUP(D74,'Stock Master'!$A$2:$L$49,5,FALSE),"")</f>
        <v/>
      </c>
      <c r="G74" s="51" t="n"/>
      <c r="H74" s="51" t="n"/>
      <c r="I74" s="51">
        <f>IFERROR(G74+H74,0)</f>
        <v/>
      </c>
      <c r="J74" s="51">
        <f>IFERROR(F74*G74,0)</f>
        <v/>
      </c>
      <c r="K74" s="51">
        <f>IFERROR(F74*H74,0)</f>
        <v/>
      </c>
      <c r="L74" s="49" t="n"/>
      <c r="M74" s="49" t="n"/>
    </row>
    <row r="75">
      <c r="A75" s="52" t="n"/>
      <c r="B75" s="49" t="n"/>
      <c r="C75" s="49" t="n"/>
      <c r="D75" s="49" t="n"/>
      <c r="E75" s="49">
        <f>IFERROR(VLOOKUP(D75,'Stock Master'!$A$2:$L$49,2,FALSE),"")</f>
        <v/>
      </c>
      <c r="F75" s="51">
        <f>IFERROR(VLOOKUP(D75,'Stock Master'!$A$2:$L$49,5,FALSE),"")</f>
        <v/>
      </c>
      <c r="G75" s="51" t="n"/>
      <c r="H75" s="51" t="n"/>
      <c r="I75" s="51">
        <f>IFERROR(G75+H75,0)</f>
        <v/>
      </c>
      <c r="J75" s="51">
        <f>IFERROR(F75*G75,0)</f>
        <v/>
      </c>
      <c r="K75" s="51">
        <f>IFERROR(F75*H75,0)</f>
        <v/>
      </c>
      <c r="L75" s="49" t="n"/>
      <c r="M75" s="49" t="n"/>
    </row>
    <row r="76">
      <c r="A76" s="52" t="n"/>
      <c r="B76" s="49" t="n"/>
      <c r="C76" s="49" t="n"/>
      <c r="D76" s="49" t="n"/>
      <c r="E76" s="49">
        <f>IFERROR(VLOOKUP(D76,'Stock Master'!$A$2:$L$49,2,FALSE),"")</f>
        <v/>
      </c>
      <c r="F76" s="51">
        <f>IFERROR(VLOOKUP(D76,'Stock Master'!$A$2:$L$49,5,FALSE),"")</f>
        <v/>
      </c>
      <c r="G76" s="51" t="n"/>
      <c r="H76" s="51" t="n"/>
      <c r="I76" s="51">
        <f>IFERROR(G76+H76,0)</f>
        <v/>
      </c>
      <c r="J76" s="51">
        <f>IFERROR(F76*G76,0)</f>
        <v/>
      </c>
      <c r="K76" s="51">
        <f>IFERROR(F76*H76,0)</f>
        <v/>
      </c>
      <c r="L76" s="49" t="n"/>
      <c r="M76" s="49" t="n"/>
    </row>
    <row r="77">
      <c r="A77" s="52" t="n"/>
      <c r="B77" s="49" t="n"/>
      <c r="C77" s="49" t="n"/>
      <c r="D77" s="49" t="n"/>
      <c r="E77" s="49">
        <f>IFERROR(VLOOKUP(D77,'Stock Master'!$A$2:$L$49,2,FALSE),"")</f>
        <v/>
      </c>
      <c r="F77" s="51">
        <f>IFERROR(VLOOKUP(D77,'Stock Master'!$A$2:$L$49,5,FALSE),"")</f>
        <v/>
      </c>
      <c r="G77" s="51" t="n"/>
      <c r="H77" s="51" t="n"/>
      <c r="I77" s="51">
        <f>IFERROR(G77+H77,0)</f>
        <v/>
      </c>
      <c r="J77" s="51">
        <f>IFERROR(F77*G77,0)</f>
        <v/>
      </c>
      <c r="K77" s="51">
        <f>IFERROR(F77*H77,0)</f>
        <v/>
      </c>
      <c r="L77" s="49" t="n"/>
      <c r="M77" s="49" t="n"/>
    </row>
    <row r="78">
      <c r="A78" s="52" t="n"/>
      <c r="B78" s="49" t="n"/>
      <c r="C78" s="49" t="n"/>
      <c r="D78" s="49" t="n"/>
      <c r="E78" s="49">
        <f>IFERROR(VLOOKUP(D78,'Stock Master'!$A$2:$L$49,2,FALSE),"")</f>
        <v/>
      </c>
      <c r="F78" s="51">
        <f>IFERROR(VLOOKUP(D78,'Stock Master'!$A$2:$L$49,5,FALSE),"")</f>
        <v/>
      </c>
      <c r="G78" s="51" t="n"/>
      <c r="H78" s="51" t="n"/>
      <c r="I78" s="51">
        <f>IFERROR(G78+H78,0)</f>
        <v/>
      </c>
      <c r="J78" s="51">
        <f>IFERROR(F78*G78,0)</f>
        <v/>
      </c>
      <c r="K78" s="51">
        <f>IFERROR(F78*H78,0)</f>
        <v/>
      </c>
      <c r="L78" s="49" t="n"/>
      <c r="M78" s="49" t="n"/>
    </row>
    <row r="79">
      <c r="A79" s="52" t="n"/>
      <c r="B79" s="49" t="n"/>
      <c r="C79" s="49" t="n"/>
      <c r="D79" s="49" t="n"/>
      <c r="E79" s="49">
        <f>IFERROR(VLOOKUP(D79,'Stock Master'!$A$2:$L$49,2,FALSE),"")</f>
        <v/>
      </c>
      <c r="F79" s="51">
        <f>IFERROR(VLOOKUP(D79,'Stock Master'!$A$2:$L$49,5,FALSE),"")</f>
        <v/>
      </c>
      <c r="G79" s="51" t="n"/>
      <c r="H79" s="51" t="n"/>
      <c r="I79" s="51">
        <f>IFERROR(G79+H79,0)</f>
        <v/>
      </c>
      <c r="J79" s="51">
        <f>IFERROR(F79*G79,0)</f>
        <v/>
      </c>
      <c r="K79" s="51">
        <f>IFERROR(F79*H79,0)</f>
        <v/>
      </c>
      <c r="L79" s="49" t="n"/>
      <c r="M79" s="49" t="n"/>
    </row>
    <row r="80">
      <c r="A80" s="52" t="n"/>
      <c r="B80" s="49" t="n"/>
      <c r="C80" s="49" t="n"/>
      <c r="D80" s="49" t="n"/>
      <c r="E80" s="49">
        <f>IFERROR(VLOOKUP(D80,'Stock Master'!$A$2:$L$49,2,FALSE),"")</f>
        <v/>
      </c>
      <c r="F80" s="51">
        <f>IFERROR(VLOOKUP(D80,'Stock Master'!$A$2:$L$49,5,FALSE),"")</f>
        <v/>
      </c>
      <c r="G80" s="51" t="n"/>
      <c r="H80" s="51" t="n"/>
      <c r="I80" s="51">
        <f>IFERROR(G80+H80,0)</f>
        <v/>
      </c>
      <c r="J80" s="51">
        <f>IFERROR(F80*G80,0)</f>
        <v/>
      </c>
      <c r="K80" s="51">
        <f>IFERROR(F80*H80,0)</f>
        <v/>
      </c>
      <c r="L80" s="49" t="n"/>
      <c r="M80" s="49" t="n"/>
    </row>
    <row r="81">
      <c r="A81" s="52" t="n"/>
      <c r="B81" s="49" t="n"/>
      <c r="C81" s="49" t="n"/>
      <c r="D81" s="49" t="n"/>
      <c r="E81" s="49">
        <f>IFERROR(VLOOKUP(D81,'Stock Master'!$A$2:$L$49,2,FALSE),"")</f>
        <v/>
      </c>
      <c r="F81" s="51">
        <f>IFERROR(VLOOKUP(D81,'Stock Master'!$A$2:$L$49,5,FALSE),"")</f>
        <v/>
      </c>
      <c r="G81" s="51" t="n"/>
      <c r="H81" s="51" t="n"/>
      <c r="I81" s="51">
        <f>IFERROR(G81+H81,0)</f>
        <v/>
      </c>
      <c r="J81" s="51">
        <f>IFERROR(F81*G81,0)</f>
        <v/>
      </c>
      <c r="K81" s="51">
        <f>IFERROR(F81*H81,0)</f>
        <v/>
      </c>
      <c r="L81" s="49" t="n"/>
      <c r="M81" s="49" t="n"/>
    </row>
    <row r="82">
      <c r="A82" s="52" t="n"/>
      <c r="B82" s="49" t="n"/>
      <c r="C82" s="49" t="n"/>
      <c r="D82" s="49" t="n"/>
      <c r="E82" s="49">
        <f>IFERROR(VLOOKUP(D82,'Stock Master'!$A$2:$L$49,2,FALSE),"")</f>
        <v/>
      </c>
      <c r="F82" s="51">
        <f>IFERROR(VLOOKUP(D82,'Stock Master'!$A$2:$L$49,5,FALSE),"")</f>
        <v/>
      </c>
      <c r="G82" s="51" t="n"/>
      <c r="H82" s="51" t="n"/>
      <c r="I82" s="51">
        <f>IFERROR(G82+H82,0)</f>
        <v/>
      </c>
      <c r="J82" s="51">
        <f>IFERROR(F82*G82,0)</f>
        <v/>
      </c>
      <c r="K82" s="51">
        <f>IFERROR(F82*H82,0)</f>
        <v/>
      </c>
      <c r="L82" s="49" t="n"/>
      <c r="M82" s="49" t="n"/>
    </row>
    <row r="83">
      <c r="A83" s="52" t="n"/>
      <c r="B83" s="49" t="n"/>
      <c r="C83" s="49" t="n"/>
      <c r="D83" s="49" t="n"/>
      <c r="E83" s="49">
        <f>IFERROR(VLOOKUP(D83,'Stock Master'!$A$2:$L$49,2,FALSE),"")</f>
        <v/>
      </c>
      <c r="F83" s="51">
        <f>IFERROR(VLOOKUP(D83,'Stock Master'!$A$2:$L$49,5,FALSE),"")</f>
        <v/>
      </c>
      <c r="G83" s="51" t="n"/>
      <c r="H83" s="51" t="n"/>
      <c r="I83" s="51">
        <f>IFERROR(G83+H83,0)</f>
        <v/>
      </c>
      <c r="J83" s="51">
        <f>IFERROR(F83*G83,0)</f>
        <v/>
      </c>
      <c r="K83" s="51">
        <f>IFERROR(F83*H83,0)</f>
        <v/>
      </c>
      <c r="L83" s="49" t="n"/>
      <c r="M83" s="49" t="n"/>
    </row>
    <row r="84">
      <c r="A84" s="52" t="n"/>
      <c r="B84" s="49" t="n"/>
      <c r="C84" s="49" t="n"/>
      <c r="D84" s="49" t="n"/>
      <c r="E84" s="49">
        <f>IFERROR(VLOOKUP(D84,'Stock Master'!$A$2:$L$49,2,FALSE),"")</f>
        <v/>
      </c>
      <c r="F84" s="51">
        <f>IFERROR(VLOOKUP(D84,'Stock Master'!$A$2:$L$49,5,FALSE),"")</f>
        <v/>
      </c>
      <c r="G84" s="51" t="n"/>
      <c r="H84" s="51" t="n"/>
      <c r="I84" s="51">
        <f>IFERROR(G84+H84,0)</f>
        <v/>
      </c>
      <c r="J84" s="51">
        <f>IFERROR(F84*G84,0)</f>
        <v/>
      </c>
      <c r="K84" s="51">
        <f>IFERROR(F84*H84,0)</f>
        <v/>
      </c>
      <c r="L84" s="49" t="n"/>
      <c r="M84" s="49" t="n"/>
    </row>
    <row r="85">
      <c r="A85" s="52" t="n"/>
      <c r="B85" s="49" t="n"/>
      <c r="C85" s="49" t="n"/>
      <c r="D85" s="49" t="n"/>
      <c r="E85" s="49">
        <f>IFERROR(VLOOKUP(D85,'Stock Master'!$A$2:$L$49,2,FALSE),"")</f>
        <v/>
      </c>
      <c r="F85" s="51">
        <f>IFERROR(VLOOKUP(D85,'Stock Master'!$A$2:$L$49,5,FALSE),"")</f>
        <v/>
      </c>
      <c r="G85" s="51" t="n"/>
      <c r="H85" s="51" t="n"/>
      <c r="I85" s="51">
        <f>IFERROR(G85+H85,0)</f>
        <v/>
      </c>
      <c r="J85" s="51">
        <f>IFERROR(F85*G85,0)</f>
        <v/>
      </c>
      <c r="K85" s="51">
        <f>IFERROR(F85*H85,0)</f>
        <v/>
      </c>
      <c r="L85" s="49" t="n"/>
      <c r="M85" s="49" t="n"/>
    </row>
    <row r="86">
      <c r="A86" s="52" t="n"/>
      <c r="B86" s="49" t="n"/>
      <c r="C86" s="49" t="n"/>
      <c r="D86" s="49" t="n"/>
      <c r="E86" s="49">
        <f>IFERROR(VLOOKUP(D86,'Stock Master'!$A$2:$L$49,2,FALSE),"")</f>
        <v/>
      </c>
      <c r="F86" s="51">
        <f>IFERROR(VLOOKUP(D86,'Stock Master'!$A$2:$L$49,5,FALSE),"")</f>
        <v/>
      </c>
      <c r="G86" s="51" t="n"/>
      <c r="H86" s="51" t="n"/>
      <c r="I86" s="51">
        <f>IFERROR(G86+H86,0)</f>
        <v/>
      </c>
      <c r="J86" s="51">
        <f>IFERROR(F86*G86,0)</f>
        <v/>
      </c>
      <c r="K86" s="51">
        <f>IFERROR(F86*H86,0)</f>
        <v/>
      </c>
      <c r="L86" s="49" t="n"/>
      <c r="M86" s="49" t="n"/>
    </row>
    <row r="87">
      <c r="A87" s="52" t="n"/>
      <c r="B87" s="49" t="n"/>
      <c r="C87" s="49" t="n"/>
      <c r="D87" s="49" t="n"/>
      <c r="E87" s="49">
        <f>IFERROR(VLOOKUP(D87,'Stock Master'!$A$2:$L$49,2,FALSE),"")</f>
        <v/>
      </c>
      <c r="F87" s="51">
        <f>IFERROR(VLOOKUP(D87,'Stock Master'!$A$2:$L$49,5,FALSE),"")</f>
        <v/>
      </c>
      <c r="G87" s="51" t="n"/>
      <c r="H87" s="51" t="n"/>
      <c r="I87" s="51">
        <f>IFERROR(G87+H87,0)</f>
        <v/>
      </c>
      <c r="J87" s="51">
        <f>IFERROR(F87*G87,0)</f>
        <v/>
      </c>
      <c r="K87" s="51">
        <f>IFERROR(F87*H87,0)</f>
        <v/>
      </c>
      <c r="L87" s="49" t="n"/>
      <c r="M87" s="49" t="n"/>
    </row>
    <row r="88">
      <c r="A88" s="52" t="n"/>
      <c r="B88" s="49" t="n"/>
      <c r="C88" s="49" t="n"/>
      <c r="D88" s="49" t="n"/>
      <c r="E88" s="49">
        <f>IFERROR(VLOOKUP(D88,'Stock Master'!$A$2:$L$49,2,FALSE),"")</f>
        <v/>
      </c>
      <c r="F88" s="51">
        <f>IFERROR(VLOOKUP(D88,'Stock Master'!$A$2:$L$49,5,FALSE),"")</f>
        <v/>
      </c>
      <c r="G88" s="51" t="n"/>
      <c r="H88" s="51" t="n"/>
      <c r="I88" s="51">
        <f>IFERROR(G88+H88,0)</f>
        <v/>
      </c>
      <c r="J88" s="51">
        <f>IFERROR(F88*G88,0)</f>
        <v/>
      </c>
      <c r="K88" s="51">
        <f>IFERROR(F88*H88,0)</f>
        <v/>
      </c>
      <c r="L88" s="49" t="n"/>
      <c r="M88" s="49" t="n"/>
    </row>
    <row r="89">
      <c r="A89" s="52" t="n"/>
      <c r="B89" s="49" t="n"/>
      <c r="C89" s="49" t="n"/>
      <c r="D89" s="49" t="n"/>
      <c r="E89" s="49">
        <f>IFERROR(VLOOKUP(D89,'Stock Master'!$A$2:$L$49,2,FALSE),"")</f>
        <v/>
      </c>
      <c r="F89" s="51">
        <f>IFERROR(VLOOKUP(D89,'Stock Master'!$A$2:$L$49,5,FALSE),"")</f>
        <v/>
      </c>
      <c r="G89" s="51" t="n"/>
      <c r="H89" s="51" t="n"/>
      <c r="I89" s="51">
        <f>IFERROR(G89+H89,0)</f>
        <v/>
      </c>
      <c r="J89" s="51">
        <f>IFERROR(F89*G89,0)</f>
        <v/>
      </c>
      <c r="K89" s="51">
        <f>IFERROR(F89*H89,0)</f>
        <v/>
      </c>
      <c r="L89" s="49" t="n"/>
      <c r="M89" s="49" t="n"/>
    </row>
    <row r="90">
      <c r="A90" s="52" t="n"/>
      <c r="B90" s="49" t="n"/>
      <c r="C90" s="49" t="n"/>
      <c r="D90" s="49" t="n"/>
      <c r="E90" s="49">
        <f>IFERROR(VLOOKUP(D90,'Stock Master'!$A$2:$L$49,2,FALSE),"")</f>
        <v/>
      </c>
      <c r="F90" s="51">
        <f>IFERROR(VLOOKUP(D90,'Stock Master'!$A$2:$L$49,5,FALSE),"")</f>
        <v/>
      </c>
      <c r="G90" s="51" t="n"/>
      <c r="H90" s="51" t="n"/>
      <c r="I90" s="51">
        <f>IFERROR(G90+H90,0)</f>
        <v/>
      </c>
      <c r="J90" s="51">
        <f>IFERROR(F90*G90,0)</f>
        <v/>
      </c>
      <c r="K90" s="51">
        <f>IFERROR(F90*H90,0)</f>
        <v/>
      </c>
      <c r="L90" s="49" t="n"/>
      <c r="M90" s="49" t="n"/>
    </row>
    <row r="91">
      <c r="A91" s="52" t="n"/>
      <c r="B91" s="49" t="n"/>
      <c r="C91" s="49" t="n"/>
      <c r="D91" s="49" t="n"/>
      <c r="E91" s="49">
        <f>IFERROR(VLOOKUP(D91,'Stock Master'!$A$2:$L$49,2,FALSE),"")</f>
        <v/>
      </c>
      <c r="F91" s="51">
        <f>IFERROR(VLOOKUP(D91,'Stock Master'!$A$2:$L$49,5,FALSE),"")</f>
        <v/>
      </c>
      <c r="G91" s="51" t="n"/>
      <c r="H91" s="51" t="n"/>
      <c r="I91" s="51">
        <f>IFERROR(G91+H91,0)</f>
        <v/>
      </c>
      <c r="J91" s="51">
        <f>IFERROR(F91*G91,0)</f>
        <v/>
      </c>
      <c r="K91" s="51">
        <f>IFERROR(F91*H91,0)</f>
        <v/>
      </c>
      <c r="L91" s="49" t="n"/>
      <c r="M91" s="49" t="n"/>
    </row>
    <row r="92">
      <c r="A92" s="52" t="n"/>
      <c r="B92" s="49" t="n"/>
      <c r="C92" s="49" t="n"/>
      <c r="D92" s="49" t="n"/>
      <c r="E92" s="49">
        <f>IFERROR(VLOOKUP(D92,'Stock Master'!$A$2:$L$49,2,FALSE),"")</f>
        <v/>
      </c>
      <c r="F92" s="51">
        <f>IFERROR(VLOOKUP(D92,'Stock Master'!$A$2:$L$49,5,FALSE),"")</f>
        <v/>
      </c>
      <c r="G92" s="51" t="n"/>
      <c r="H92" s="51" t="n"/>
      <c r="I92" s="51">
        <f>IFERROR(G92+H92,0)</f>
        <v/>
      </c>
      <c r="J92" s="51">
        <f>IFERROR(F92*G92,0)</f>
        <v/>
      </c>
      <c r="K92" s="51">
        <f>IFERROR(F92*H92,0)</f>
        <v/>
      </c>
      <c r="L92" s="49" t="n"/>
      <c r="M92" s="49" t="n"/>
    </row>
    <row r="93">
      <c r="A93" s="52" t="n"/>
      <c r="B93" s="49" t="n"/>
      <c r="C93" s="49" t="n"/>
      <c r="D93" s="49" t="n"/>
      <c r="E93" s="49">
        <f>IFERROR(VLOOKUP(D93,'Stock Master'!$A$2:$L$49,2,FALSE),"")</f>
        <v/>
      </c>
      <c r="F93" s="51">
        <f>IFERROR(VLOOKUP(D93,'Stock Master'!$A$2:$L$49,5,FALSE),"")</f>
        <v/>
      </c>
      <c r="G93" s="51" t="n"/>
      <c r="H93" s="51" t="n"/>
      <c r="I93" s="51">
        <f>IFERROR(G93+H93,0)</f>
        <v/>
      </c>
      <c r="J93" s="51">
        <f>IFERROR(F93*G93,0)</f>
        <v/>
      </c>
      <c r="K93" s="51">
        <f>IFERROR(F93*H93,0)</f>
        <v/>
      </c>
      <c r="L93" s="49" t="n"/>
      <c r="M93" s="49" t="n"/>
    </row>
    <row r="94">
      <c r="A94" s="52" t="n"/>
      <c r="B94" s="49" t="n"/>
      <c r="C94" s="49" t="n"/>
      <c r="D94" s="49" t="n"/>
      <c r="E94" s="49">
        <f>IFERROR(VLOOKUP(D94,'Stock Master'!$A$2:$L$49,2,FALSE),"")</f>
        <v/>
      </c>
      <c r="F94" s="51">
        <f>IFERROR(VLOOKUP(D94,'Stock Master'!$A$2:$L$49,5,FALSE),"")</f>
        <v/>
      </c>
      <c r="G94" s="51" t="n"/>
      <c r="H94" s="51" t="n"/>
      <c r="I94" s="51">
        <f>IFERROR(G94+H94,0)</f>
        <v/>
      </c>
      <c r="J94" s="51">
        <f>IFERROR(F94*G94,0)</f>
        <v/>
      </c>
      <c r="K94" s="51">
        <f>IFERROR(F94*H94,0)</f>
        <v/>
      </c>
      <c r="L94" s="49" t="n"/>
      <c r="M94" s="49" t="n"/>
    </row>
    <row r="95">
      <c r="A95" s="52" t="n"/>
      <c r="B95" s="49" t="n"/>
      <c r="C95" s="49" t="n"/>
      <c r="D95" s="49" t="n"/>
      <c r="E95" s="49">
        <f>IFERROR(VLOOKUP(D95,'Stock Master'!$A$2:$L$49,2,FALSE),"")</f>
        <v/>
      </c>
      <c r="F95" s="51">
        <f>IFERROR(VLOOKUP(D95,'Stock Master'!$A$2:$L$49,5,FALSE),"")</f>
        <v/>
      </c>
      <c r="G95" s="51" t="n"/>
      <c r="H95" s="51" t="n"/>
      <c r="I95" s="51">
        <f>IFERROR(G95+H95,0)</f>
        <v/>
      </c>
      <c r="J95" s="51">
        <f>IFERROR(F95*G95,0)</f>
        <v/>
      </c>
      <c r="K95" s="51">
        <f>IFERROR(F95*H95,0)</f>
        <v/>
      </c>
      <c r="L95" s="49" t="n"/>
      <c r="M95" s="49" t="n"/>
    </row>
    <row r="96">
      <c r="A96" s="52" t="n"/>
      <c r="B96" s="49" t="n"/>
      <c r="C96" s="49" t="n"/>
      <c r="D96" s="49" t="n"/>
      <c r="E96" s="49">
        <f>IFERROR(VLOOKUP(D96,'Stock Master'!$A$2:$L$49,2,FALSE),"")</f>
        <v/>
      </c>
      <c r="F96" s="51">
        <f>IFERROR(VLOOKUP(D96,'Stock Master'!$A$2:$L$49,5,FALSE),"")</f>
        <v/>
      </c>
      <c r="G96" s="51" t="n"/>
      <c r="H96" s="51" t="n"/>
      <c r="I96" s="51">
        <f>IFERROR(G96+H96,0)</f>
        <v/>
      </c>
      <c r="J96" s="51">
        <f>IFERROR(F96*G96,0)</f>
        <v/>
      </c>
      <c r="K96" s="51">
        <f>IFERROR(F96*H96,0)</f>
        <v/>
      </c>
      <c r="L96" s="49" t="n"/>
      <c r="M96" s="49" t="n"/>
    </row>
    <row r="97">
      <c r="A97" s="52" t="n"/>
      <c r="B97" s="49" t="n"/>
      <c r="C97" s="49" t="n"/>
      <c r="D97" s="49" t="n"/>
      <c r="E97" s="49">
        <f>IFERROR(VLOOKUP(D97,'Stock Master'!$A$2:$L$49,2,FALSE),"")</f>
        <v/>
      </c>
      <c r="F97" s="51">
        <f>IFERROR(VLOOKUP(D97,'Stock Master'!$A$2:$L$49,5,FALSE),"")</f>
        <v/>
      </c>
      <c r="G97" s="51" t="n"/>
      <c r="H97" s="51" t="n"/>
      <c r="I97" s="51">
        <f>IFERROR(G97+H97,0)</f>
        <v/>
      </c>
      <c r="J97" s="51">
        <f>IFERROR(F97*G97,0)</f>
        <v/>
      </c>
      <c r="K97" s="51">
        <f>IFERROR(F97*H97,0)</f>
        <v/>
      </c>
      <c r="L97" s="49" t="n"/>
      <c r="M97" s="49" t="n"/>
    </row>
    <row r="98">
      <c r="A98" s="52" t="n"/>
      <c r="B98" s="49" t="n"/>
      <c r="C98" s="49" t="n"/>
      <c r="D98" s="49" t="n"/>
      <c r="E98" s="49">
        <f>IFERROR(VLOOKUP(D98,'Stock Master'!$A$2:$L$49,2,FALSE),"")</f>
        <v/>
      </c>
      <c r="F98" s="51">
        <f>IFERROR(VLOOKUP(D98,'Stock Master'!$A$2:$L$49,5,FALSE),"")</f>
        <v/>
      </c>
      <c r="G98" s="51" t="n"/>
      <c r="H98" s="51" t="n"/>
      <c r="I98" s="51">
        <f>IFERROR(G98+H98,0)</f>
        <v/>
      </c>
      <c r="J98" s="51">
        <f>IFERROR(F98*G98,0)</f>
        <v/>
      </c>
      <c r="K98" s="51">
        <f>IFERROR(F98*H98,0)</f>
        <v/>
      </c>
      <c r="L98" s="49" t="n"/>
      <c r="M98" s="49" t="n"/>
    </row>
    <row r="99">
      <c r="A99" s="52" t="n"/>
      <c r="B99" s="49" t="n"/>
      <c r="C99" s="49" t="n"/>
      <c r="D99" s="49" t="n"/>
      <c r="E99" s="49">
        <f>IFERROR(VLOOKUP(D99,'Stock Master'!$A$2:$L$49,2,FALSE),"")</f>
        <v/>
      </c>
      <c r="F99" s="51">
        <f>IFERROR(VLOOKUP(D99,'Stock Master'!$A$2:$L$49,5,FALSE),"")</f>
        <v/>
      </c>
      <c r="G99" s="51" t="n"/>
      <c r="H99" s="51" t="n"/>
      <c r="I99" s="51">
        <f>IFERROR(G99+H99,0)</f>
        <v/>
      </c>
      <c r="J99" s="51">
        <f>IFERROR(F99*G99,0)</f>
        <v/>
      </c>
      <c r="K99" s="51">
        <f>IFERROR(F99*H99,0)</f>
        <v/>
      </c>
      <c r="L99" s="49" t="n"/>
      <c r="M99" s="49" t="n"/>
    </row>
    <row r="100">
      <c r="A100" s="52" t="n"/>
      <c r="B100" s="49" t="n"/>
      <c r="C100" s="49" t="n"/>
      <c r="D100" s="49" t="n"/>
      <c r="E100" s="49">
        <f>IFERROR(VLOOKUP(D100,'Stock Master'!$A$2:$L$49,2,FALSE),"")</f>
        <v/>
      </c>
      <c r="F100" s="51">
        <f>IFERROR(VLOOKUP(D100,'Stock Master'!$A$2:$L$49,5,FALSE),"")</f>
        <v/>
      </c>
      <c r="G100" s="51" t="n"/>
      <c r="H100" s="51" t="n"/>
      <c r="I100" s="51">
        <f>IFERROR(G100+H100,0)</f>
        <v/>
      </c>
      <c r="J100" s="51">
        <f>IFERROR(F100*G100,0)</f>
        <v/>
      </c>
      <c r="K100" s="51">
        <f>IFERROR(F100*H100,0)</f>
        <v/>
      </c>
      <c r="L100" s="49" t="n"/>
      <c r="M100" s="49" t="n"/>
    </row>
    <row r="101">
      <c r="A101" s="52" t="n"/>
      <c r="B101" s="49" t="n"/>
      <c r="C101" s="49" t="n"/>
      <c r="D101" s="49" t="n"/>
      <c r="E101" s="49">
        <f>IFERROR(VLOOKUP(D101,'Stock Master'!$A$2:$L$49,2,FALSE),"")</f>
        <v/>
      </c>
      <c r="F101" s="51">
        <f>IFERROR(VLOOKUP(D101,'Stock Master'!$A$2:$L$49,5,FALSE),"")</f>
        <v/>
      </c>
      <c r="G101" s="51" t="n"/>
      <c r="H101" s="51" t="n"/>
      <c r="I101" s="51">
        <f>IFERROR(G101+H101,0)</f>
        <v/>
      </c>
      <c r="J101" s="51">
        <f>IFERROR(F101*G101,0)</f>
        <v/>
      </c>
      <c r="K101" s="51">
        <f>IFERROR(F101*H101,0)</f>
        <v/>
      </c>
      <c r="L101" s="49" t="n"/>
      <c r="M101" s="49" t="n"/>
    </row>
    <row r="102">
      <c r="A102" s="52" t="n"/>
      <c r="B102" s="49" t="n"/>
      <c r="C102" s="49" t="n"/>
      <c r="D102" s="49" t="n"/>
      <c r="E102" s="49">
        <f>IFERROR(VLOOKUP(D102,'Stock Master'!$A$2:$L$49,2,FALSE),"")</f>
        <v/>
      </c>
      <c r="F102" s="51">
        <f>IFERROR(VLOOKUP(D102,'Stock Master'!$A$2:$L$49,5,FALSE),"")</f>
        <v/>
      </c>
      <c r="G102" s="51" t="n"/>
      <c r="H102" s="51" t="n"/>
      <c r="I102" s="51">
        <f>IFERROR(G102+H102,0)</f>
        <v/>
      </c>
      <c r="J102" s="51">
        <f>IFERROR(F102*G102,0)</f>
        <v/>
      </c>
      <c r="K102" s="51">
        <f>IFERROR(F102*H102,0)</f>
        <v/>
      </c>
      <c r="L102" s="49" t="n"/>
      <c r="M102" s="49" t="n"/>
    </row>
    <row r="103">
      <c r="A103" s="52" t="n"/>
      <c r="B103" s="49" t="n"/>
      <c r="C103" s="49" t="n"/>
      <c r="D103" s="49" t="n"/>
      <c r="E103" s="49">
        <f>IFERROR(VLOOKUP(D103,'Stock Master'!$A$2:$L$49,2,FALSE),"")</f>
        <v/>
      </c>
      <c r="F103" s="51">
        <f>IFERROR(VLOOKUP(D103,'Stock Master'!$A$2:$L$49,5,FALSE),"")</f>
        <v/>
      </c>
      <c r="G103" s="51" t="n"/>
      <c r="H103" s="51" t="n"/>
      <c r="I103" s="51">
        <f>IFERROR(G103+H103,0)</f>
        <v/>
      </c>
      <c r="J103" s="51">
        <f>IFERROR(F103*G103,0)</f>
        <v/>
      </c>
      <c r="K103" s="51">
        <f>IFERROR(F103*H103,0)</f>
        <v/>
      </c>
      <c r="L103" s="49" t="n"/>
      <c r="M103" s="49" t="n"/>
    </row>
    <row r="104">
      <c r="A104" s="52" t="n"/>
      <c r="B104" s="49" t="n"/>
      <c r="C104" s="49" t="n"/>
      <c r="D104" s="49" t="n"/>
      <c r="E104" s="49">
        <f>IFERROR(VLOOKUP(D104,'Stock Master'!$A$2:$L$49,2,FALSE),"")</f>
        <v/>
      </c>
      <c r="F104" s="51">
        <f>IFERROR(VLOOKUP(D104,'Stock Master'!$A$2:$L$49,5,FALSE),"")</f>
        <v/>
      </c>
      <c r="G104" s="51" t="n"/>
      <c r="H104" s="51" t="n"/>
      <c r="I104" s="51">
        <f>IFERROR(G104+H104,0)</f>
        <v/>
      </c>
      <c r="J104" s="51">
        <f>IFERROR(F104*G104,0)</f>
        <v/>
      </c>
      <c r="K104" s="51">
        <f>IFERROR(F104*H104,0)</f>
        <v/>
      </c>
      <c r="L104" s="49" t="n"/>
      <c r="M104" s="49" t="n"/>
    </row>
    <row r="105">
      <c r="A105" s="52" t="n"/>
      <c r="B105" s="49" t="n"/>
      <c r="C105" s="49" t="n"/>
      <c r="D105" s="49" t="n"/>
      <c r="E105" s="49">
        <f>IFERROR(VLOOKUP(D105,'Stock Master'!$A$2:$L$49,2,FALSE),"")</f>
        <v/>
      </c>
      <c r="F105" s="51">
        <f>IFERROR(VLOOKUP(D105,'Stock Master'!$A$2:$L$49,5,FALSE),"")</f>
        <v/>
      </c>
      <c r="G105" s="51" t="n"/>
      <c r="H105" s="51" t="n"/>
      <c r="I105" s="51">
        <f>IFERROR(G105+H105,0)</f>
        <v/>
      </c>
      <c r="J105" s="51">
        <f>IFERROR(F105*G105,0)</f>
        <v/>
      </c>
      <c r="K105" s="51">
        <f>IFERROR(F105*H105,0)</f>
        <v/>
      </c>
      <c r="L105" s="49" t="n"/>
      <c r="M105" s="49" t="n"/>
    </row>
    <row r="106">
      <c r="A106" s="52" t="n"/>
      <c r="B106" s="49" t="n"/>
      <c r="C106" s="49" t="n"/>
      <c r="D106" s="49" t="n"/>
      <c r="E106" s="49">
        <f>IFERROR(VLOOKUP(D106,'Stock Master'!$A$2:$L$49,2,FALSE),"")</f>
        <v/>
      </c>
      <c r="F106" s="51">
        <f>IFERROR(VLOOKUP(D106,'Stock Master'!$A$2:$L$49,5,FALSE),"")</f>
        <v/>
      </c>
      <c r="G106" s="51" t="n"/>
      <c r="H106" s="51" t="n"/>
      <c r="I106" s="51">
        <f>IFERROR(G106+H106,0)</f>
        <v/>
      </c>
      <c r="J106" s="51">
        <f>IFERROR(F106*G106,0)</f>
        <v/>
      </c>
      <c r="K106" s="51">
        <f>IFERROR(F106*H106,0)</f>
        <v/>
      </c>
      <c r="L106" s="49" t="n"/>
      <c r="M106" s="49" t="n"/>
    </row>
    <row r="107">
      <c r="A107" s="52" t="n"/>
      <c r="B107" s="49" t="n"/>
      <c r="C107" s="49" t="n"/>
      <c r="D107" s="49" t="n"/>
      <c r="E107" s="49">
        <f>IFERROR(VLOOKUP(D107,'Stock Master'!$A$2:$L$49,2,FALSE),"")</f>
        <v/>
      </c>
      <c r="F107" s="51">
        <f>IFERROR(VLOOKUP(D107,'Stock Master'!$A$2:$L$49,5,FALSE),"")</f>
        <v/>
      </c>
      <c r="G107" s="51" t="n"/>
      <c r="H107" s="51" t="n"/>
      <c r="I107" s="51">
        <f>IFERROR(G107+H107,0)</f>
        <v/>
      </c>
      <c r="J107" s="51">
        <f>IFERROR(F107*G107,0)</f>
        <v/>
      </c>
      <c r="K107" s="51">
        <f>IFERROR(F107*H107,0)</f>
        <v/>
      </c>
      <c r="L107" s="49" t="n"/>
      <c r="M107" s="49" t="n"/>
    </row>
    <row r="108">
      <c r="A108" s="52" t="n"/>
      <c r="B108" s="49" t="n"/>
      <c r="C108" s="49" t="n"/>
      <c r="D108" s="49" t="n"/>
      <c r="E108" s="49">
        <f>IFERROR(VLOOKUP(D108,'Stock Master'!$A$2:$L$49,2,FALSE),"")</f>
        <v/>
      </c>
      <c r="F108" s="51">
        <f>IFERROR(VLOOKUP(D108,'Stock Master'!$A$2:$L$49,5,FALSE),"")</f>
        <v/>
      </c>
      <c r="G108" s="51" t="n"/>
      <c r="H108" s="51" t="n"/>
      <c r="I108" s="51">
        <f>IFERROR(G108+H108,0)</f>
        <v/>
      </c>
      <c r="J108" s="51">
        <f>IFERROR(F108*G108,0)</f>
        <v/>
      </c>
      <c r="K108" s="51">
        <f>IFERROR(F108*H108,0)</f>
        <v/>
      </c>
      <c r="L108" s="49" t="n"/>
      <c r="M108" s="49" t="n"/>
    </row>
    <row r="109">
      <c r="A109" s="52" t="n"/>
      <c r="B109" s="49" t="n"/>
      <c r="C109" s="49" t="n"/>
      <c r="D109" s="49" t="n"/>
      <c r="E109" s="49">
        <f>IFERROR(VLOOKUP(D109,'Stock Master'!$A$2:$L$49,2,FALSE),"")</f>
        <v/>
      </c>
      <c r="F109" s="51">
        <f>IFERROR(VLOOKUP(D109,'Stock Master'!$A$2:$L$49,5,FALSE),"")</f>
        <v/>
      </c>
      <c r="G109" s="51" t="n"/>
      <c r="H109" s="51" t="n"/>
      <c r="I109" s="51">
        <f>IFERROR(G109+H109,0)</f>
        <v/>
      </c>
      <c r="J109" s="51">
        <f>IFERROR(F109*G109,0)</f>
        <v/>
      </c>
      <c r="K109" s="51">
        <f>IFERROR(F109*H109,0)</f>
        <v/>
      </c>
      <c r="L109" s="49" t="n"/>
      <c r="M109" s="49" t="n"/>
    </row>
    <row r="110">
      <c r="A110" s="52" t="n"/>
      <c r="B110" s="49" t="n"/>
      <c r="C110" s="49" t="n"/>
      <c r="D110" s="49" t="n"/>
      <c r="E110" s="49">
        <f>IFERROR(VLOOKUP(D110,'Stock Master'!$A$2:$L$49,2,FALSE),"")</f>
        <v/>
      </c>
      <c r="F110" s="51">
        <f>IFERROR(VLOOKUP(D110,'Stock Master'!$A$2:$L$49,5,FALSE),"")</f>
        <v/>
      </c>
      <c r="G110" s="51" t="n"/>
      <c r="H110" s="51" t="n"/>
      <c r="I110" s="51">
        <f>IFERROR(G110+H110,0)</f>
        <v/>
      </c>
      <c r="J110" s="51">
        <f>IFERROR(F110*G110,0)</f>
        <v/>
      </c>
      <c r="K110" s="51">
        <f>IFERROR(F110*H110,0)</f>
        <v/>
      </c>
      <c r="L110" s="49" t="n"/>
      <c r="M110" s="49" t="n"/>
    </row>
    <row r="111">
      <c r="A111" s="52" t="n"/>
      <c r="B111" s="49" t="n"/>
      <c r="C111" s="49" t="n"/>
      <c r="D111" s="49" t="n"/>
      <c r="E111" s="49">
        <f>IFERROR(VLOOKUP(D111,'Stock Master'!$A$2:$L$49,2,FALSE),"")</f>
        <v/>
      </c>
      <c r="F111" s="51">
        <f>IFERROR(VLOOKUP(D111,'Stock Master'!$A$2:$L$49,5,FALSE),"")</f>
        <v/>
      </c>
      <c r="G111" s="51" t="n"/>
      <c r="H111" s="51" t="n"/>
      <c r="I111" s="51">
        <f>IFERROR(G111+H111,0)</f>
        <v/>
      </c>
      <c r="J111" s="51">
        <f>IFERROR(F111*G111,0)</f>
        <v/>
      </c>
      <c r="K111" s="51">
        <f>IFERROR(F111*H111,0)</f>
        <v/>
      </c>
      <c r="L111" s="49" t="n"/>
      <c r="M111" s="49" t="n"/>
    </row>
    <row r="112">
      <c r="A112" s="52" t="n"/>
      <c r="B112" s="49" t="n"/>
      <c r="C112" s="49" t="n"/>
      <c r="D112" s="49" t="n"/>
      <c r="E112" s="49">
        <f>IFERROR(VLOOKUP(D112,'Stock Master'!$A$2:$L$49,2,FALSE),"")</f>
        <v/>
      </c>
      <c r="F112" s="51">
        <f>IFERROR(VLOOKUP(D112,'Stock Master'!$A$2:$L$49,5,FALSE),"")</f>
        <v/>
      </c>
      <c r="G112" s="51" t="n"/>
      <c r="H112" s="51" t="n"/>
      <c r="I112" s="51">
        <f>IFERROR(G112+H112,0)</f>
        <v/>
      </c>
      <c r="J112" s="51">
        <f>IFERROR(F112*G112,0)</f>
        <v/>
      </c>
      <c r="K112" s="51">
        <f>IFERROR(F112*H112,0)</f>
        <v/>
      </c>
      <c r="L112" s="49" t="n"/>
      <c r="M112" s="49" t="n"/>
    </row>
    <row r="113">
      <c r="A113" s="52" t="n"/>
      <c r="B113" s="49" t="n"/>
      <c r="C113" s="49" t="n"/>
      <c r="D113" s="49" t="n"/>
      <c r="E113" s="49">
        <f>IFERROR(VLOOKUP(D113,'Stock Master'!$A$2:$L$49,2,FALSE),"")</f>
        <v/>
      </c>
      <c r="F113" s="51">
        <f>IFERROR(VLOOKUP(D113,'Stock Master'!$A$2:$L$49,5,FALSE),"")</f>
        <v/>
      </c>
      <c r="G113" s="51" t="n"/>
      <c r="H113" s="51" t="n"/>
      <c r="I113" s="51">
        <f>IFERROR(G113+H113,0)</f>
        <v/>
      </c>
      <c r="J113" s="51">
        <f>IFERROR(F113*G113,0)</f>
        <v/>
      </c>
      <c r="K113" s="51">
        <f>IFERROR(F113*H113,0)</f>
        <v/>
      </c>
      <c r="L113" s="49" t="n"/>
      <c r="M113" s="49" t="n"/>
    </row>
    <row r="114">
      <c r="A114" s="52" t="n"/>
      <c r="B114" s="49" t="n"/>
      <c r="C114" s="49" t="n"/>
      <c r="D114" s="49" t="n"/>
      <c r="E114" s="49">
        <f>IFERROR(VLOOKUP(D114,'Stock Master'!$A$2:$L$49,2,FALSE),"")</f>
        <v/>
      </c>
      <c r="F114" s="51">
        <f>IFERROR(VLOOKUP(D114,'Stock Master'!$A$2:$L$49,5,FALSE),"")</f>
        <v/>
      </c>
      <c r="G114" s="51" t="n"/>
      <c r="H114" s="51" t="n"/>
      <c r="I114" s="51">
        <f>IFERROR(G114+H114,0)</f>
        <v/>
      </c>
      <c r="J114" s="51">
        <f>IFERROR(F114*G114,0)</f>
        <v/>
      </c>
      <c r="K114" s="51">
        <f>IFERROR(F114*H114,0)</f>
        <v/>
      </c>
      <c r="L114" s="49" t="n"/>
      <c r="M114" s="49" t="n"/>
    </row>
    <row r="115">
      <c r="A115" s="52" t="n"/>
      <c r="B115" s="49" t="n"/>
      <c r="C115" s="49" t="n"/>
      <c r="D115" s="49" t="n"/>
      <c r="E115" s="49">
        <f>IFERROR(VLOOKUP(D115,'Stock Master'!$A$2:$L$49,2,FALSE),"")</f>
        <v/>
      </c>
      <c r="F115" s="51">
        <f>IFERROR(VLOOKUP(D115,'Stock Master'!$A$2:$L$49,5,FALSE),"")</f>
        <v/>
      </c>
      <c r="G115" s="51" t="n"/>
      <c r="H115" s="51" t="n"/>
      <c r="I115" s="51">
        <f>IFERROR(G115+H115,0)</f>
        <v/>
      </c>
      <c r="J115" s="51">
        <f>IFERROR(F115*G115,0)</f>
        <v/>
      </c>
      <c r="K115" s="51">
        <f>IFERROR(F115*H115,0)</f>
        <v/>
      </c>
      <c r="L115" s="49" t="n"/>
      <c r="M115" s="49" t="n"/>
    </row>
    <row r="116">
      <c r="A116" s="52" t="n"/>
      <c r="B116" s="49" t="n"/>
      <c r="C116" s="49" t="n"/>
      <c r="D116" s="49" t="n"/>
      <c r="E116" s="49">
        <f>IFERROR(VLOOKUP(D116,'Stock Master'!$A$2:$L$49,2,FALSE),"")</f>
        <v/>
      </c>
      <c r="F116" s="51">
        <f>IFERROR(VLOOKUP(D116,'Stock Master'!$A$2:$L$49,5,FALSE),"")</f>
        <v/>
      </c>
      <c r="G116" s="51" t="n"/>
      <c r="H116" s="51" t="n"/>
      <c r="I116" s="51">
        <f>IFERROR(G116+H116,0)</f>
        <v/>
      </c>
      <c r="J116" s="51">
        <f>IFERROR(F116*G116,0)</f>
        <v/>
      </c>
      <c r="K116" s="51">
        <f>IFERROR(F116*H116,0)</f>
        <v/>
      </c>
      <c r="L116" s="49" t="n"/>
      <c r="M116" s="49" t="n"/>
    </row>
    <row r="117">
      <c r="A117" s="52" t="n"/>
      <c r="B117" s="49" t="n"/>
      <c r="C117" s="49" t="n"/>
      <c r="D117" s="49" t="n"/>
      <c r="E117" s="49">
        <f>IFERROR(VLOOKUP(D117,'Stock Master'!$A$2:$L$49,2,FALSE),"")</f>
        <v/>
      </c>
      <c r="F117" s="51">
        <f>IFERROR(VLOOKUP(D117,'Stock Master'!$A$2:$L$49,5,FALSE),"")</f>
        <v/>
      </c>
      <c r="G117" s="51" t="n"/>
      <c r="H117" s="51" t="n"/>
      <c r="I117" s="51">
        <f>IFERROR(G117+H117,0)</f>
        <v/>
      </c>
      <c r="J117" s="51">
        <f>IFERROR(F117*G117,0)</f>
        <v/>
      </c>
      <c r="K117" s="51">
        <f>IFERROR(F117*H117,0)</f>
        <v/>
      </c>
      <c r="L117" s="49" t="n"/>
      <c r="M117" s="49" t="n"/>
    </row>
    <row r="118">
      <c r="A118" s="52" t="n"/>
      <c r="B118" s="49" t="n"/>
      <c r="C118" s="49" t="n"/>
      <c r="D118" s="49" t="n"/>
      <c r="E118" s="49">
        <f>IFERROR(VLOOKUP(D118,'Stock Master'!$A$2:$L$49,2,FALSE),"")</f>
        <v/>
      </c>
      <c r="F118" s="51">
        <f>IFERROR(VLOOKUP(D118,'Stock Master'!$A$2:$L$49,5,FALSE),"")</f>
        <v/>
      </c>
      <c r="G118" s="51" t="n"/>
      <c r="H118" s="51" t="n"/>
      <c r="I118" s="51">
        <f>IFERROR(G118+H118,0)</f>
        <v/>
      </c>
      <c r="J118" s="51">
        <f>IFERROR(F118*G118,0)</f>
        <v/>
      </c>
      <c r="K118" s="51">
        <f>IFERROR(F118*H118,0)</f>
        <v/>
      </c>
      <c r="L118" s="49" t="n"/>
      <c r="M118" s="49" t="n"/>
    </row>
    <row r="119">
      <c r="A119" s="52" t="n"/>
      <c r="B119" s="49" t="n"/>
      <c r="C119" s="49" t="n"/>
      <c r="D119" s="49" t="n"/>
      <c r="E119" s="49">
        <f>IFERROR(VLOOKUP(D119,'Stock Master'!$A$2:$L$49,2,FALSE),"")</f>
        <v/>
      </c>
      <c r="F119" s="51">
        <f>IFERROR(VLOOKUP(D119,'Stock Master'!$A$2:$L$49,5,FALSE),"")</f>
        <v/>
      </c>
      <c r="G119" s="51" t="n"/>
      <c r="H119" s="51" t="n"/>
      <c r="I119" s="51">
        <f>IFERROR(G119+H119,0)</f>
        <v/>
      </c>
      <c r="J119" s="51">
        <f>IFERROR(F119*G119,0)</f>
        <v/>
      </c>
      <c r="K119" s="51">
        <f>IFERROR(F119*H119,0)</f>
        <v/>
      </c>
      <c r="L119" s="49" t="n"/>
      <c r="M119" s="49" t="n"/>
    </row>
    <row r="120">
      <c r="A120" s="52" t="n"/>
      <c r="B120" s="49" t="n"/>
      <c r="C120" s="49" t="n"/>
      <c r="D120" s="49" t="n"/>
      <c r="E120" s="49">
        <f>IFERROR(VLOOKUP(D120,'Stock Master'!$A$2:$L$49,2,FALSE),"")</f>
        <v/>
      </c>
      <c r="F120" s="51">
        <f>IFERROR(VLOOKUP(D120,'Stock Master'!$A$2:$L$49,5,FALSE),"")</f>
        <v/>
      </c>
      <c r="G120" s="51" t="n"/>
      <c r="H120" s="51" t="n"/>
      <c r="I120" s="51">
        <f>IFERROR(G120+H120,0)</f>
        <v/>
      </c>
      <c r="J120" s="51">
        <f>IFERROR(F120*G120,0)</f>
        <v/>
      </c>
      <c r="K120" s="51">
        <f>IFERROR(F120*H120,0)</f>
        <v/>
      </c>
      <c r="L120" s="49" t="n"/>
      <c r="M120" s="49" t="n"/>
    </row>
    <row r="121">
      <c r="A121" s="52" t="n"/>
      <c r="B121" s="49" t="n"/>
      <c r="C121" s="49" t="n"/>
      <c r="D121" s="49" t="n"/>
      <c r="E121" s="49">
        <f>IFERROR(VLOOKUP(D121,'Stock Master'!$A$2:$L$49,2,FALSE),"")</f>
        <v/>
      </c>
      <c r="F121" s="51">
        <f>IFERROR(VLOOKUP(D121,'Stock Master'!$A$2:$L$49,5,FALSE),"")</f>
        <v/>
      </c>
      <c r="G121" s="51" t="n"/>
      <c r="H121" s="51" t="n"/>
      <c r="I121" s="51">
        <f>IFERROR(G121+H121,0)</f>
        <v/>
      </c>
      <c r="J121" s="51">
        <f>IFERROR(F121*G121,0)</f>
        <v/>
      </c>
      <c r="K121" s="51">
        <f>IFERROR(F121*H121,0)</f>
        <v/>
      </c>
      <c r="L121" s="49" t="n"/>
      <c r="M121" s="49" t="n"/>
    </row>
    <row r="122">
      <c r="A122" s="52" t="n"/>
      <c r="B122" s="49" t="n"/>
      <c r="C122" s="49" t="n"/>
      <c r="D122" s="49" t="n"/>
      <c r="E122" s="49">
        <f>IFERROR(VLOOKUP(D122,'Stock Master'!$A$2:$L$49,2,FALSE),"")</f>
        <v/>
      </c>
      <c r="F122" s="51">
        <f>IFERROR(VLOOKUP(D122,'Stock Master'!$A$2:$L$49,5,FALSE),"")</f>
        <v/>
      </c>
      <c r="G122" s="51" t="n"/>
      <c r="H122" s="51" t="n"/>
      <c r="I122" s="51">
        <f>IFERROR(G122+H122,0)</f>
        <v/>
      </c>
      <c r="J122" s="51">
        <f>IFERROR(F122*G122,0)</f>
        <v/>
      </c>
      <c r="K122" s="51">
        <f>IFERROR(F122*H122,0)</f>
        <v/>
      </c>
      <c r="L122" s="49" t="n"/>
      <c r="M122" s="49" t="n"/>
    </row>
    <row r="123">
      <c r="A123" s="52" t="n"/>
      <c r="B123" s="49" t="n"/>
      <c r="C123" s="49" t="n"/>
      <c r="D123" s="49" t="n"/>
      <c r="E123" s="49">
        <f>IFERROR(VLOOKUP(D123,'Stock Master'!$A$2:$L$49,2,FALSE),"")</f>
        <v/>
      </c>
      <c r="F123" s="51">
        <f>IFERROR(VLOOKUP(D123,'Stock Master'!$A$2:$L$49,5,FALSE),"")</f>
        <v/>
      </c>
      <c r="G123" s="51" t="n"/>
      <c r="H123" s="51" t="n"/>
      <c r="I123" s="51">
        <f>IFERROR(G123+H123,0)</f>
        <v/>
      </c>
      <c r="J123" s="51">
        <f>IFERROR(F123*G123,0)</f>
        <v/>
      </c>
      <c r="K123" s="51">
        <f>IFERROR(F123*H123,0)</f>
        <v/>
      </c>
      <c r="L123" s="49" t="n"/>
      <c r="M123" s="49" t="n"/>
    </row>
    <row r="124">
      <c r="A124" s="52" t="n"/>
      <c r="B124" s="49" t="n"/>
      <c r="C124" s="49" t="n"/>
      <c r="D124" s="49" t="n"/>
      <c r="E124" s="49">
        <f>IFERROR(VLOOKUP(D124,'Stock Master'!$A$2:$L$49,2,FALSE),"")</f>
        <v/>
      </c>
      <c r="F124" s="51">
        <f>IFERROR(VLOOKUP(D124,'Stock Master'!$A$2:$L$49,5,FALSE),"")</f>
        <v/>
      </c>
      <c r="G124" s="51" t="n"/>
      <c r="H124" s="51" t="n"/>
      <c r="I124" s="51">
        <f>IFERROR(G124+H124,0)</f>
        <v/>
      </c>
      <c r="J124" s="51">
        <f>IFERROR(F124*G124,0)</f>
        <v/>
      </c>
      <c r="K124" s="51">
        <f>IFERROR(F124*H124,0)</f>
        <v/>
      </c>
      <c r="L124" s="49" t="n"/>
      <c r="M124" s="49" t="n"/>
    </row>
    <row r="125">
      <c r="A125" s="52" t="n"/>
      <c r="B125" s="49" t="n"/>
      <c r="C125" s="49" t="n"/>
      <c r="D125" s="49" t="n"/>
      <c r="E125" s="49">
        <f>IFERROR(VLOOKUP(D125,'Stock Master'!$A$2:$L$49,2,FALSE),"")</f>
        <v/>
      </c>
      <c r="F125" s="51">
        <f>IFERROR(VLOOKUP(D125,'Stock Master'!$A$2:$L$49,5,FALSE),"")</f>
        <v/>
      </c>
      <c r="G125" s="51" t="n"/>
      <c r="H125" s="51" t="n"/>
      <c r="I125" s="51">
        <f>IFERROR(G125+H125,0)</f>
        <v/>
      </c>
      <c r="J125" s="51">
        <f>IFERROR(F125*G125,0)</f>
        <v/>
      </c>
      <c r="K125" s="51">
        <f>IFERROR(F125*H125,0)</f>
        <v/>
      </c>
      <c r="L125" s="49" t="n"/>
      <c r="M125" s="49" t="n"/>
    </row>
    <row r="126">
      <c r="A126" s="52" t="n"/>
      <c r="B126" s="49" t="n"/>
      <c r="C126" s="49" t="n"/>
      <c r="D126" s="49" t="n"/>
      <c r="E126" s="49">
        <f>IFERROR(VLOOKUP(D126,'Stock Master'!$A$2:$L$49,2,FALSE),"")</f>
        <v/>
      </c>
      <c r="F126" s="51">
        <f>IFERROR(VLOOKUP(D126,'Stock Master'!$A$2:$L$49,5,FALSE),"")</f>
        <v/>
      </c>
      <c r="G126" s="51" t="n"/>
      <c r="H126" s="51" t="n"/>
      <c r="I126" s="51">
        <f>IFERROR(G126+H126,0)</f>
        <v/>
      </c>
      <c r="J126" s="51">
        <f>IFERROR(F126*G126,0)</f>
        <v/>
      </c>
      <c r="K126" s="51">
        <f>IFERROR(F126*H126,0)</f>
        <v/>
      </c>
      <c r="L126" s="49" t="n"/>
      <c r="M126" s="49" t="n"/>
    </row>
    <row r="127">
      <c r="A127" s="52" t="n"/>
      <c r="B127" s="49" t="n"/>
      <c r="C127" s="49" t="n"/>
      <c r="D127" s="49" t="n"/>
      <c r="E127" s="49">
        <f>IFERROR(VLOOKUP(D127,'Stock Master'!$A$2:$L$49,2,FALSE),"")</f>
        <v/>
      </c>
      <c r="F127" s="51">
        <f>IFERROR(VLOOKUP(D127,'Stock Master'!$A$2:$L$49,5,FALSE),"")</f>
        <v/>
      </c>
      <c r="G127" s="51" t="n"/>
      <c r="H127" s="51" t="n"/>
      <c r="I127" s="51">
        <f>IFERROR(G127+H127,0)</f>
        <v/>
      </c>
      <c r="J127" s="51">
        <f>IFERROR(F127*G127,0)</f>
        <v/>
      </c>
      <c r="K127" s="51">
        <f>IFERROR(F127*H127,0)</f>
        <v/>
      </c>
      <c r="L127" s="49" t="n"/>
      <c r="M127" s="49" t="n"/>
    </row>
    <row r="128">
      <c r="A128" s="52" t="n"/>
      <c r="B128" s="49" t="n"/>
      <c r="C128" s="49" t="n"/>
      <c r="D128" s="49" t="n"/>
      <c r="E128" s="49">
        <f>IFERROR(VLOOKUP(D128,'Stock Master'!$A$2:$L$49,2,FALSE),"")</f>
        <v/>
      </c>
      <c r="F128" s="51">
        <f>IFERROR(VLOOKUP(D128,'Stock Master'!$A$2:$L$49,5,FALSE),"")</f>
        <v/>
      </c>
      <c r="G128" s="51" t="n"/>
      <c r="H128" s="51" t="n"/>
      <c r="I128" s="51">
        <f>IFERROR(G128+H128,0)</f>
        <v/>
      </c>
      <c r="J128" s="51">
        <f>IFERROR(F128*G128,0)</f>
        <v/>
      </c>
      <c r="K128" s="51">
        <f>IFERROR(F128*H128,0)</f>
        <v/>
      </c>
      <c r="L128" s="49" t="n"/>
      <c r="M128" s="49" t="n"/>
    </row>
    <row r="129">
      <c r="A129" s="52" t="n"/>
      <c r="B129" s="49" t="n"/>
      <c r="C129" s="49" t="n"/>
      <c r="D129" s="49" t="n"/>
      <c r="E129" s="49">
        <f>IFERROR(VLOOKUP(D129,'Stock Master'!$A$2:$L$49,2,FALSE),"")</f>
        <v/>
      </c>
      <c r="F129" s="51">
        <f>IFERROR(VLOOKUP(D129,'Stock Master'!$A$2:$L$49,5,FALSE),"")</f>
        <v/>
      </c>
      <c r="G129" s="51" t="n"/>
      <c r="H129" s="51" t="n"/>
      <c r="I129" s="51">
        <f>IFERROR(G129+H129,0)</f>
        <v/>
      </c>
      <c r="J129" s="51">
        <f>IFERROR(F129*G129,0)</f>
        <v/>
      </c>
      <c r="K129" s="51">
        <f>IFERROR(F129*H129,0)</f>
        <v/>
      </c>
      <c r="L129" s="49" t="n"/>
      <c r="M129" s="49" t="n"/>
    </row>
    <row r="130">
      <c r="A130" s="52" t="n"/>
      <c r="B130" s="49" t="n"/>
      <c r="C130" s="49" t="n"/>
      <c r="D130" s="49" t="n"/>
      <c r="E130" s="49">
        <f>IFERROR(VLOOKUP(D130,'Stock Master'!$A$2:$L$49,2,FALSE),"")</f>
        <v/>
      </c>
      <c r="F130" s="51">
        <f>IFERROR(VLOOKUP(D130,'Stock Master'!$A$2:$L$49,5,FALSE),"")</f>
        <v/>
      </c>
      <c r="G130" s="51" t="n"/>
      <c r="H130" s="51" t="n"/>
      <c r="I130" s="51">
        <f>IFERROR(G130+H130,0)</f>
        <v/>
      </c>
      <c r="J130" s="51">
        <f>IFERROR(F130*G130,0)</f>
        <v/>
      </c>
      <c r="K130" s="51">
        <f>IFERROR(F130*H130,0)</f>
        <v/>
      </c>
      <c r="L130" s="49" t="n"/>
      <c r="M130" s="49" t="n"/>
    </row>
    <row r="131">
      <c r="A131" s="52" t="n"/>
      <c r="B131" s="49" t="n"/>
      <c r="C131" s="49" t="n"/>
      <c r="D131" s="49" t="n"/>
      <c r="E131" s="49">
        <f>IFERROR(VLOOKUP(D131,'Stock Master'!$A$2:$L$49,2,FALSE),"")</f>
        <v/>
      </c>
      <c r="F131" s="51">
        <f>IFERROR(VLOOKUP(D131,'Stock Master'!$A$2:$L$49,5,FALSE),"")</f>
        <v/>
      </c>
      <c r="G131" s="51" t="n"/>
      <c r="H131" s="51" t="n"/>
      <c r="I131" s="51">
        <f>IFERROR(G131+H131,0)</f>
        <v/>
      </c>
      <c r="J131" s="51">
        <f>IFERROR(F131*G131,0)</f>
        <v/>
      </c>
      <c r="K131" s="51">
        <f>IFERROR(F131*H131,0)</f>
        <v/>
      </c>
      <c r="L131" s="49" t="n"/>
      <c r="M131" s="49" t="n"/>
    </row>
    <row r="132">
      <c r="A132" s="52" t="n"/>
      <c r="B132" s="49" t="n"/>
      <c r="C132" s="49" t="n"/>
      <c r="D132" s="49" t="n"/>
      <c r="E132" s="49">
        <f>IFERROR(VLOOKUP(D132,'Stock Master'!$A$2:$L$49,2,FALSE),"")</f>
        <v/>
      </c>
      <c r="F132" s="51">
        <f>IFERROR(VLOOKUP(D132,'Stock Master'!$A$2:$L$49,5,FALSE),"")</f>
        <v/>
      </c>
      <c r="G132" s="51" t="n"/>
      <c r="H132" s="51" t="n"/>
      <c r="I132" s="51">
        <f>IFERROR(G132+H132,0)</f>
        <v/>
      </c>
      <c r="J132" s="51">
        <f>IFERROR(F132*G132,0)</f>
        <v/>
      </c>
      <c r="K132" s="51">
        <f>IFERROR(F132*H132,0)</f>
        <v/>
      </c>
      <c r="L132" s="49" t="n"/>
      <c r="M132" s="49" t="n"/>
    </row>
    <row r="133">
      <c r="A133" s="52" t="n"/>
      <c r="B133" s="49" t="n"/>
      <c r="C133" s="49" t="n"/>
      <c r="D133" s="49" t="n"/>
      <c r="E133" s="49">
        <f>IFERROR(VLOOKUP(D133,'Stock Master'!$A$2:$L$49,2,FALSE),"")</f>
        <v/>
      </c>
      <c r="F133" s="51">
        <f>IFERROR(VLOOKUP(D133,'Stock Master'!$A$2:$L$49,5,FALSE),"")</f>
        <v/>
      </c>
      <c r="G133" s="51" t="n"/>
      <c r="H133" s="51" t="n"/>
      <c r="I133" s="51">
        <f>IFERROR(G133+H133,0)</f>
        <v/>
      </c>
      <c r="J133" s="51">
        <f>IFERROR(F133*G133,0)</f>
        <v/>
      </c>
      <c r="K133" s="51">
        <f>IFERROR(F133*H133,0)</f>
        <v/>
      </c>
      <c r="L133" s="49" t="n"/>
      <c r="M133" s="49" t="n"/>
    </row>
    <row r="134">
      <c r="A134" s="52" t="n"/>
      <c r="B134" s="49" t="n"/>
      <c r="C134" s="49" t="n"/>
      <c r="D134" s="49" t="n"/>
      <c r="E134" s="49">
        <f>IFERROR(VLOOKUP(D134,'Stock Master'!$A$2:$L$49,2,FALSE),"")</f>
        <v/>
      </c>
      <c r="F134" s="51">
        <f>IFERROR(VLOOKUP(D134,'Stock Master'!$A$2:$L$49,5,FALSE),"")</f>
        <v/>
      </c>
      <c r="G134" s="51" t="n"/>
      <c r="H134" s="51" t="n"/>
      <c r="I134" s="51">
        <f>IFERROR(G134+H134,0)</f>
        <v/>
      </c>
      <c r="J134" s="51">
        <f>IFERROR(F134*G134,0)</f>
        <v/>
      </c>
      <c r="K134" s="51">
        <f>IFERROR(F134*H134,0)</f>
        <v/>
      </c>
      <c r="L134" s="49" t="n"/>
      <c r="M134" s="49" t="n"/>
    </row>
    <row r="135">
      <c r="A135" s="52" t="n"/>
      <c r="B135" s="49" t="n"/>
      <c r="C135" s="49" t="n"/>
      <c r="D135" s="49" t="n"/>
      <c r="E135" s="49">
        <f>IFERROR(VLOOKUP(D135,'Stock Master'!$A$2:$L$49,2,FALSE),"")</f>
        <v/>
      </c>
      <c r="F135" s="51">
        <f>IFERROR(VLOOKUP(D135,'Stock Master'!$A$2:$L$49,5,FALSE),"")</f>
        <v/>
      </c>
      <c r="G135" s="51" t="n"/>
      <c r="H135" s="51" t="n"/>
      <c r="I135" s="51">
        <f>IFERROR(G135+H135,0)</f>
        <v/>
      </c>
      <c r="J135" s="51">
        <f>IFERROR(F135*G135,0)</f>
        <v/>
      </c>
      <c r="K135" s="51">
        <f>IFERROR(F135*H135,0)</f>
        <v/>
      </c>
      <c r="L135" s="49" t="n"/>
      <c r="M135" s="49" t="n"/>
    </row>
    <row r="136">
      <c r="A136" s="52" t="n"/>
      <c r="B136" s="49" t="n"/>
      <c r="C136" s="49" t="n"/>
      <c r="D136" s="49" t="n"/>
      <c r="E136" s="49">
        <f>IFERROR(VLOOKUP(D136,'Stock Master'!$A$2:$L$49,2,FALSE),"")</f>
        <v/>
      </c>
      <c r="F136" s="51">
        <f>IFERROR(VLOOKUP(D136,'Stock Master'!$A$2:$L$49,5,FALSE),"")</f>
        <v/>
      </c>
      <c r="G136" s="51" t="n"/>
      <c r="H136" s="51" t="n"/>
      <c r="I136" s="51">
        <f>IFERROR(G136+H136,0)</f>
        <v/>
      </c>
      <c r="J136" s="51">
        <f>IFERROR(F136*G136,0)</f>
        <v/>
      </c>
      <c r="K136" s="51">
        <f>IFERROR(F136*H136,0)</f>
        <v/>
      </c>
      <c r="L136" s="49" t="n"/>
      <c r="M136" s="49" t="n"/>
    </row>
    <row r="137">
      <c r="A137" s="52" t="n"/>
      <c r="B137" s="49" t="n"/>
      <c r="C137" s="49" t="n"/>
      <c r="D137" s="49" t="n"/>
      <c r="E137" s="49">
        <f>IFERROR(VLOOKUP(D137,'Stock Master'!$A$2:$L$49,2,FALSE),"")</f>
        <v/>
      </c>
      <c r="F137" s="51">
        <f>IFERROR(VLOOKUP(D137,'Stock Master'!$A$2:$L$49,5,FALSE),"")</f>
        <v/>
      </c>
      <c r="G137" s="51" t="n"/>
      <c r="H137" s="51" t="n"/>
      <c r="I137" s="51">
        <f>IFERROR(G137+H137,0)</f>
        <v/>
      </c>
      <c r="J137" s="51">
        <f>IFERROR(F137*G137,0)</f>
        <v/>
      </c>
      <c r="K137" s="51">
        <f>IFERROR(F137*H137,0)</f>
        <v/>
      </c>
      <c r="L137" s="49" t="n"/>
      <c r="M137" s="49" t="n"/>
    </row>
    <row r="138">
      <c r="A138" s="52" t="n"/>
      <c r="B138" s="49" t="n"/>
      <c r="C138" s="49" t="n"/>
      <c r="D138" s="49" t="n"/>
      <c r="E138" s="49">
        <f>IFERROR(VLOOKUP(D138,'Stock Master'!$A$2:$L$49,2,FALSE),"")</f>
        <v/>
      </c>
      <c r="F138" s="51">
        <f>IFERROR(VLOOKUP(D138,'Stock Master'!$A$2:$L$49,5,FALSE),"")</f>
        <v/>
      </c>
      <c r="G138" s="51" t="n"/>
      <c r="H138" s="51" t="n"/>
      <c r="I138" s="51">
        <f>IFERROR(G138+H138,0)</f>
        <v/>
      </c>
      <c r="J138" s="51">
        <f>IFERROR(F138*G138,0)</f>
        <v/>
      </c>
      <c r="K138" s="51">
        <f>IFERROR(F138*H138,0)</f>
        <v/>
      </c>
      <c r="L138" s="49" t="n"/>
      <c r="M138" s="49" t="n"/>
    </row>
    <row r="139">
      <c r="A139" s="52" t="n"/>
      <c r="B139" s="49" t="n"/>
      <c r="C139" s="49" t="n"/>
      <c r="D139" s="49" t="n"/>
      <c r="E139" s="49">
        <f>IFERROR(VLOOKUP(D139,'Stock Master'!$A$2:$L$49,2,FALSE),"")</f>
        <v/>
      </c>
      <c r="F139" s="51">
        <f>IFERROR(VLOOKUP(D139,'Stock Master'!$A$2:$L$49,5,FALSE),"")</f>
        <v/>
      </c>
      <c r="G139" s="51" t="n"/>
      <c r="H139" s="51" t="n"/>
      <c r="I139" s="51">
        <f>IFERROR(G139+H139,0)</f>
        <v/>
      </c>
      <c r="J139" s="51">
        <f>IFERROR(F139*G139,0)</f>
        <v/>
      </c>
      <c r="K139" s="51">
        <f>IFERROR(F139*H139,0)</f>
        <v/>
      </c>
      <c r="L139" s="49" t="n"/>
      <c r="M139" s="49" t="n"/>
    </row>
    <row r="140">
      <c r="A140" s="52" t="n"/>
      <c r="B140" s="49" t="n"/>
      <c r="C140" s="49" t="n"/>
      <c r="D140" s="49" t="n"/>
      <c r="E140" s="49">
        <f>IFERROR(VLOOKUP(D140,'Stock Master'!$A$2:$L$49,2,FALSE),"")</f>
        <v/>
      </c>
      <c r="F140" s="51">
        <f>IFERROR(VLOOKUP(D140,'Stock Master'!$A$2:$L$49,5,FALSE),"")</f>
        <v/>
      </c>
      <c r="G140" s="51" t="n"/>
      <c r="H140" s="51" t="n"/>
      <c r="I140" s="51">
        <f>IFERROR(G140+H140,0)</f>
        <v/>
      </c>
      <c r="J140" s="51">
        <f>IFERROR(F140*G140,0)</f>
        <v/>
      </c>
      <c r="K140" s="51">
        <f>IFERROR(F140*H140,0)</f>
        <v/>
      </c>
      <c r="L140" s="49" t="n"/>
      <c r="M140" s="49" t="n"/>
    </row>
    <row r="141">
      <c r="A141" s="52" t="n"/>
      <c r="B141" s="49" t="n"/>
      <c r="C141" s="49" t="n"/>
      <c r="D141" s="49" t="n"/>
      <c r="E141" s="49">
        <f>IFERROR(VLOOKUP(D141,'Stock Master'!$A$2:$L$49,2,FALSE),"")</f>
        <v/>
      </c>
      <c r="F141" s="51">
        <f>IFERROR(VLOOKUP(D141,'Stock Master'!$A$2:$L$49,5,FALSE),"")</f>
        <v/>
      </c>
      <c r="G141" s="51" t="n"/>
      <c r="H141" s="51" t="n"/>
      <c r="I141" s="51">
        <f>IFERROR(G141+H141,0)</f>
        <v/>
      </c>
      <c r="J141" s="51">
        <f>IFERROR(F141*G141,0)</f>
        <v/>
      </c>
      <c r="K141" s="51">
        <f>IFERROR(F141*H141,0)</f>
        <v/>
      </c>
      <c r="L141" s="49" t="n"/>
      <c r="M141" s="49" t="n"/>
    </row>
    <row r="142">
      <c r="A142" s="52" t="n"/>
      <c r="B142" s="49" t="n"/>
      <c r="C142" s="49" t="n"/>
      <c r="D142" s="49" t="n"/>
      <c r="E142" s="49">
        <f>IFERROR(VLOOKUP(D142,'Stock Master'!$A$2:$L$49,2,FALSE),"")</f>
        <v/>
      </c>
      <c r="F142" s="51">
        <f>IFERROR(VLOOKUP(D142,'Stock Master'!$A$2:$L$49,5,FALSE),"")</f>
        <v/>
      </c>
      <c r="G142" s="51" t="n"/>
      <c r="H142" s="51" t="n"/>
      <c r="I142" s="51">
        <f>IFERROR(G142+H142,0)</f>
        <v/>
      </c>
      <c r="J142" s="51">
        <f>IFERROR(F142*G142,0)</f>
        <v/>
      </c>
      <c r="K142" s="51">
        <f>IFERROR(F142*H142,0)</f>
        <v/>
      </c>
      <c r="L142" s="49" t="n"/>
      <c r="M142" s="49" t="n"/>
    </row>
    <row r="143">
      <c r="A143" s="52" t="n"/>
      <c r="B143" s="49" t="n"/>
      <c r="C143" s="49" t="n"/>
      <c r="D143" s="49" t="n"/>
      <c r="E143" s="49">
        <f>IFERROR(VLOOKUP(D143,'Stock Master'!$A$2:$L$49,2,FALSE),"")</f>
        <v/>
      </c>
      <c r="F143" s="51">
        <f>IFERROR(VLOOKUP(D143,'Stock Master'!$A$2:$L$49,5,FALSE),"")</f>
        <v/>
      </c>
      <c r="G143" s="51" t="n"/>
      <c r="H143" s="51" t="n"/>
      <c r="I143" s="51">
        <f>IFERROR(G143+H143,0)</f>
        <v/>
      </c>
      <c r="J143" s="51">
        <f>IFERROR(F143*G143,0)</f>
        <v/>
      </c>
      <c r="K143" s="51">
        <f>IFERROR(F143*H143,0)</f>
        <v/>
      </c>
      <c r="L143" s="49" t="n"/>
      <c r="M143" s="49" t="n"/>
    </row>
    <row r="144">
      <c r="A144" s="52" t="n"/>
      <c r="B144" s="49" t="n"/>
      <c r="C144" s="49" t="n"/>
      <c r="D144" s="49" t="n"/>
      <c r="E144" s="49">
        <f>IFERROR(VLOOKUP(D144,'Stock Master'!$A$2:$L$49,2,FALSE),"")</f>
        <v/>
      </c>
      <c r="F144" s="51">
        <f>IFERROR(VLOOKUP(D144,'Stock Master'!$A$2:$L$49,5,FALSE),"")</f>
        <v/>
      </c>
      <c r="G144" s="51" t="n"/>
      <c r="H144" s="51" t="n"/>
      <c r="I144" s="51">
        <f>IFERROR(G144+H144,0)</f>
        <v/>
      </c>
      <c r="J144" s="51">
        <f>IFERROR(F144*G144,0)</f>
        <v/>
      </c>
      <c r="K144" s="51">
        <f>IFERROR(F144*H144,0)</f>
        <v/>
      </c>
      <c r="L144" s="49" t="n"/>
      <c r="M144" s="49" t="n"/>
    </row>
    <row r="145">
      <c r="A145" s="52" t="n"/>
      <c r="B145" s="49" t="n"/>
      <c r="C145" s="49" t="n"/>
      <c r="D145" s="49" t="n"/>
      <c r="E145" s="49">
        <f>IFERROR(VLOOKUP(D145,'Stock Master'!$A$2:$L$49,2,FALSE),"")</f>
        <v/>
      </c>
      <c r="F145" s="51">
        <f>IFERROR(VLOOKUP(D145,'Stock Master'!$A$2:$L$49,5,FALSE),"")</f>
        <v/>
      </c>
      <c r="G145" s="51" t="n"/>
      <c r="H145" s="51" t="n"/>
      <c r="I145" s="51">
        <f>IFERROR(G145+H145,0)</f>
        <v/>
      </c>
      <c r="J145" s="51">
        <f>IFERROR(F145*G145,0)</f>
        <v/>
      </c>
      <c r="K145" s="51">
        <f>IFERROR(F145*H145,0)</f>
        <v/>
      </c>
      <c r="L145" s="49" t="n"/>
      <c r="M145" s="49" t="n"/>
    </row>
    <row r="146">
      <c r="A146" s="52" t="n"/>
      <c r="B146" s="49" t="n"/>
      <c r="C146" s="49" t="n"/>
      <c r="D146" s="49" t="n"/>
      <c r="E146" s="49">
        <f>IFERROR(VLOOKUP(D146,'Stock Master'!$A$2:$L$49,2,FALSE),"")</f>
        <v/>
      </c>
      <c r="F146" s="51">
        <f>IFERROR(VLOOKUP(D146,'Stock Master'!$A$2:$L$49,5,FALSE),"")</f>
        <v/>
      </c>
      <c r="G146" s="51" t="n"/>
      <c r="H146" s="51" t="n"/>
      <c r="I146" s="51">
        <f>IFERROR(G146+H146,0)</f>
        <v/>
      </c>
      <c r="J146" s="51">
        <f>IFERROR(F146*G146,0)</f>
        <v/>
      </c>
      <c r="K146" s="51">
        <f>IFERROR(F146*H146,0)</f>
        <v/>
      </c>
      <c r="L146" s="49" t="n"/>
      <c r="M146" s="49" t="n"/>
    </row>
    <row r="147">
      <c r="A147" s="52" t="n"/>
      <c r="B147" s="49" t="n"/>
      <c r="C147" s="49" t="n"/>
      <c r="D147" s="49" t="n"/>
      <c r="E147" s="49">
        <f>IFERROR(VLOOKUP(D147,'Stock Master'!$A$2:$L$49,2,FALSE),"")</f>
        <v/>
      </c>
      <c r="F147" s="51">
        <f>IFERROR(VLOOKUP(D147,'Stock Master'!$A$2:$L$49,5,FALSE),"")</f>
        <v/>
      </c>
      <c r="G147" s="51" t="n"/>
      <c r="H147" s="51" t="n"/>
      <c r="I147" s="51">
        <f>IFERROR(G147+H147,0)</f>
        <v/>
      </c>
      <c r="J147" s="51">
        <f>IFERROR(F147*G147,0)</f>
        <v/>
      </c>
      <c r="K147" s="51">
        <f>IFERROR(F147*H147,0)</f>
        <v/>
      </c>
      <c r="L147" s="49" t="n"/>
      <c r="M147" s="49" t="n"/>
    </row>
    <row r="148">
      <c r="A148" s="52" t="n"/>
      <c r="B148" s="49" t="n"/>
      <c r="C148" s="49" t="n"/>
      <c r="D148" s="49" t="n"/>
      <c r="E148" s="49">
        <f>IFERROR(VLOOKUP(D148,'Stock Master'!$A$2:$L$49,2,FALSE),"")</f>
        <v/>
      </c>
      <c r="F148" s="51">
        <f>IFERROR(VLOOKUP(D148,'Stock Master'!$A$2:$L$49,5,FALSE),"")</f>
        <v/>
      </c>
      <c r="G148" s="51" t="n"/>
      <c r="H148" s="51" t="n"/>
      <c r="I148" s="51">
        <f>IFERROR(G148+H148,0)</f>
        <v/>
      </c>
      <c r="J148" s="51">
        <f>IFERROR(F148*G148,0)</f>
        <v/>
      </c>
      <c r="K148" s="51">
        <f>IFERROR(F148*H148,0)</f>
        <v/>
      </c>
      <c r="L148" s="49" t="n"/>
      <c r="M148" s="49" t="n"/>
    </row>
    <row r="149">
      <c r="A149" s="52" t="n"/>
      <c r="B149" s="49" t="n"/>
      <c r="C149" s="49" t="n"/>
      <c r="D149" s="49" t="n"/>
      <c r="E149" s="49">
        <f>IFERROR(VLOOKUP(D149,'Stock Master'!$A$2:$L$49,2,FALSE),"")</f>
        <v/>
      </c>
      <c r="F149" s="51">
        <f>IFERROR(VLOOKUP(D149,'Stock Master'!$A$2:$L$49,5,FALSE),"")</f>
        <v/>
      </c>
      <c r="G149" s="51" t="n"/>
      <c r="H149" s="51" t="n"/>
      <c r="I149" s="51">
        <f>IFERROR(G149+H149,0)</f>
        <v/>
      </c>
      <c r="J149" s="51">
        <f>IFERROR(F149*G149,0)</f>
        <v/>
      </c>
      <c r="K149" s="51">
        <f>IFERROR(F149*H149,0)</f>
        <v/>
      </c>
      <c r="L149" s="49" t="n"/>
      <c r="M149" s="49" t="n"/>
    </row>
    <row r="150">
      <c r="A150" s="52" t="n"/>
      <c r="B150" s="49" t="n"/>
      <c r="C150" s="49" t="n"/>
      <c r="D150" s="49" t="n"/>
      <c r="E150" s="49">
        <f>IFERROR(VLOOKUP(D150,'Stock Master'!$A$2:$L$49,2,FALSE),"")</f>
        <v/>
      </c>
      <c r="F150" s="51">
        <f>IFERROR(VLOOKUP(D150,'Stock Master'!$A$2:$L$49,5,FALSE),"")</f>
        <v/>
      </c>
      <c r="G150" s="51" t="n"/>
      <c r="H150" s="51" t="n"/>
      <c r="I150" s="51">
        <f>IFERROR(G150+H150,0)</f>
        <v/>
      </c>
      <c r="J150" s="51">
        <f>IFERROR(F150*G150,0)</f>
        <v/>
      </c>
      <c r="K150" s="51">
        <f>IFERROR(F150*H150,0)</f>
        <v/>
      </c>
      <c r="L150" s="49" t="n"/>
      <c r="M150" s="49" t="n"/>
    </row>
    <row r="151">
      <c r="A151" s="52" t="n"/>
      <c r="B151" s="49" t="n"/>
      <c r="C151" s="49" t="n"/>
      <c r="D151" s="49" t="n"/>
      <c r="E151" s="49">
        <f>IFERROR(VLOOKUP(D151,'Stock Master'!$A$2:$L$49,2,FALSE),"")</f>
        <v/>
      </c>
      <c r="F151" s="51">
        <f>IFERROR(VLOOKUP(D151,'Stock Master'!$A$2:$L$49,5,FALSE),"")</f>
        <v/>
      </c>
      <c r="G151" s="51" t="n"/>
      <c r="H151" s="51" t="n"/>
      <c r="I151" s="51">
        <f>IFERROR(G151+H151,0)</f>
        <v/>
      </c>
      <c r="J151" s="51">
        <f>IFERROR(F151*G151,0)</f>
        <v/>
      </c>
      <c r="K151" s="51">
        <f>IFERROR(F151*H151,0)</f>
        <v/>
      </c>
      <c r="L151" s="49" t="n"/>
      <c r="M151" s="49" t="n"/>
    </row>
    <row r="152">
      <c r="A152" s="52" t="n"/>
      <c r="B152" s="49" t="n"/>
      <c r="C152" s="49" t="n"/>
      <c r="D152" s="49" t="n"/>
      <c r="E152" s="49">
        <f>IFERROR(VLOOKUP(D152,'Stock Master'!$A$2:$L$49,2,FALSE),"")</f>
        <v/>
      </c>
      <c r="F152" s="51">
        <f>IFERROR(VLOOKUP(D152,'Stock Master'!$A$2:$L$49,5,FALSE),"")</f>
        <v/>
      </c>
      <c r="G152" s="51" t="n"/>
      <c r="H152" s="51" t="n"/>
      <c r="I152" s="51">
        <f>IFERROR(G152+H152,0)</f>
        <v/>
      </c>
      <c r="J152" s="51">
        <f>IFERROR(F152*G152,0)</f>
        <v/>
      </c>
      <c r="K152" s="51">
        <f>IFERROR(F152*H152,0)</f>
        <v/>
      </c>
      <c r="L152" s="49" t="n"/>
      <c r="M152" s="49" t="n"/>
    </row>
    <row r="153">
      <c r="A153" s="52" t="n"/>
      <c r="B153" s="49" t="n"/>
      <c r="C153" s="49" t="n"/>
      <c r="D153" s="49" t="n"/>
      <c r="E153" s="49">
        <f>IFERROR(VLOOKUP(D153,'Stock Master'!$A$2:$L$49,2,FALSE),"")</f>
        <v/>
      </c>
      <c r="F153" s="51">
        <f>IFERROR(VLOOKUP(D153,'Stock Master'!$A$2:$L$49,5,FALSE),"")</f>
        <v/>
      </c>
      <c r="G153" s="51" t="n"/>
      <c r="H153" s="51" t="n"/>
      <c r="I153" s="51">
        <f>IFERROR(G153+H153,0)</f>
        <v/>
      </c>
      <c r="J153" s="51">
        <f>IFERROR(F153*G153,0)</f>
        <v/>
      </c>
      <c r="K153" s="51">
        <f>IFERROR(F153*H153,0)</f>
        <v/>
      </c>
      <c r="L153" s="49" t="n"/>
      <c r="M153" s="49" t="n"/>
    </row>
    <row r="154">
      <c r="A154" s="52" t="n"/>
      <c r="B154" s="49" t="n"/>
      <c r="C154" s="49" t="n"/>
      <c r="D154" s="49" t="n"/>
      <c r="E154" s="49">
        <f>IFERROR(VLOOKUP(D154,'Stock Master'!$A$2:$L$49,2,FALSE),"")</f>
        <v/>
      </c>
      <c r="F154" s="51">
        <f>IFERROR(VLOOKUP(D154,'Stock Master'!$A$2:$L$49,5,FALSE),"")</f>
        <v/>
      </c>
      <c r="G154" s="51" t="n"/>
      <c r="H154" s="51" t="n"/>
      <c r="I154" s="51">
        <f>IFERROR(G154+H154,0)</f>
        <v/>
      </c>
      <c r="J154" s="51">
        <f>IFERROR(F154*G154,0)</f>
        <v/>
      </c>
      <c r="K154" s="51">
        <f>IFERROR(F154*H154,0)</f>
        <v/>
      </c>
      <c r="L154" s="49" t="n"/>
      <c r="M154" s="49" t="n"/>
    </row>
    <row r="155">
      <c r="A155" s="52" t="n"/>
      <c r="B155" s="49" t="n"/>
      <c r="C155" s="49" t="n"/>
      <c r="D155" s="49" t="n"/>
      <c r="E155" s="49">
        <f>IFERROR(VLOOKUP(D155,'Stock Master'!$A$2:$L$49,2,FALSE),"")</f>
        <v/>
      </c>
      <c r="F155" s="51">
        <f>IFERROR(VLOOKUP(D155,'Stock Master'!$A$2:$L$49,5,FALSE),"")</f>
        <v/>
      </c>
      <c r="G155" s="51" t="n"/>
      <c r="H155" s="51" t="n"/>
      <c r="I155" s="51">
        <f>IFERROR(G155+H155,0)</f>
        <v/>
      </c>
      <c r="J155" s="51">
        <f>IFERROR(F155*G155,0)</f>
        <v/>
      </c>
      <c r="K155" s="51">
        <f>IFERROR(F155*H155,0)</f>
        <v/>
      </c>
      <c r="L155" s="49" t="n"/>
      <c r="M155" s="49" t="n"/>
    </row>
    <row r="156">
      <c r="A156" s="52" t="n"/>
      <c r="B156" s="49" t="n"/>
      <c r="C156" s="49" t="n"/>
      <c r="D156" s="49" t="n"/>
      <c r="E156" s="49">
        <f>IFERROR(VLOOKUP(D156,'Stock Master'!$A$2:$L$49,2,FALSE),"")</f>
        <v/>
      </c>
      <c r="F156" s="51">
        <f>IFERROR(VLOOKUP(D156,'Stock Master'!$A$2:$L$49,5,FALSE),"")</f>
        <v/>
      </c>
      <c r="G156" s="51" t="n"/>
      <c r="H156" s="51" t="n"/>
      <c r="I156" s="51">
        <f>IFERROR(G156+H156,0)</f>
        <v/>
      </c>
      <c r="J156" s="51">
        <f>IFERROR(F156*G156,0)</f>
        <v/>
      </c>
      <c r="K156" s="51">
        <f>IFERROR(F156*H156,0)</f>
        <v/>
      </c>
      <c r="L156" s="49" t="n"/>
      <c r="M156" s="49" t="n"/>
    </row>
    <row r="157">
      <c r="A157" s="52" t="n"/>
      <c r="B157" s="49" t="n"/>
      <c r="C157" s="49" t="n"/>
      <c r="D157" s="49" t="n"/>
      <c r="E157" s="49">
        <f>IFERROR(VLOOKUP(D157,'Stock Master'!$A$2:$L$49,2,FALSE),"")</f>
        <v/>
      </c>
      <c r="F157" s="51">
        <f>IFERROR(VLOOKUP(D157,'Stock Master'!$A$2:$L$49,5,FALSE),"")</f>
        <v/>
      </c>
      <c r="G157" s="51" t="n"/>
      <c r="H157" s="51" t="n"/>
      <c r="I157" s="51">
        <f>IFERROR(G157+H157,0)</f>
        <v/>
      </c>
      <c r="J157" s="51">
        <f>IFERROR(F157*G157,0)</f>
        <v/>
      </c>
      <c r="K157" s="51">
        <f>IFERROR(F157*H157,0)</f>
        <v/>
      </c>
      <c r="L157" s="49" t="n"/>
      <c r="M157" s="49" t="n"/>
    </row>
    <row r="158">
      <c r="A158" s="52" t="n"/>
      <c r="B158" s="49" t="n"/>
      <c r="C158" s="49" t="n"/>
      <c r="D158" s="49" t="n"/>
      <c r="E158" s="49">
        <f>IFERROR(VLOOKUP(D158,'Stock Master'!$A$2:$L$49,2,FALSE),"")</f>
        <v/>
      </c>
      <c r="F158" s="51">
        <f>IFERROR(VLOOKUP(D158,'Stock Master'!$A$2:$L$49,5,FALSE),"")</f>
        <v/>
      </c>
      <c r="G158" s="51" t="n"/>
      <c r="H158" s="51" t="n"/>
      <c r="I158" s="51">
        <f>IFERROR(G158+H158,0)</f>
        <v/>
      </c>
      <c r="J158" s="51">
        <f>IFERROR(F158*G158,0)</f>
        <v/>
      </c>
      <c r="K158" s="51">
        <f>IFERROR(F158*H158,0)</f>
        <v/>
      </c>
      <c r="L158" s="49" t="n"/>
      <c r="M158" s="49" t="n"/>
    </row>
    <row r="159">
      <c r="A159" s="52" t="n"/>
      <c r="B159" s="49" t="n"/>
      <c r="C159" s="49" t="n"/>
      <c r="D159" s="49" t="n"/>
      <c r="E159" s="49">
        <f>IFERROR(VLOOKUP(D159,'Stock Master'!$A$2:$L$49,2,FALSE),"")</f>
        <v/>
      </c>
      <c r="F159" s="51">
        <f>IFERROR(VLOOKUP(D159,'Stock Master'!$A$2:$L$49,5,FALSE),"")</f>
        <v/>
      </c>
      <c r="G159" s="51" t="n"/>
      <c r="H159" s="51" t="n"/>
      <c r="I159" s="51">
        <f>IFERROR(G159+H159,0)</f>
        <v/>
      </c>
      <c r="J159" s="51">
        <f>IFERROR(F159*G159,0)</f>
        <v/>
      </c>
      <c r="K159" s="51">
        <f>IFERROR(F159*H159,0)</f>
        <v/>
      </c>
      <c r="L159" s="49" t="n"/>
      <c r="M159" s="49" t="n"/>
    </row>
    <row r="160">
      <c r="A160" s="52" t="n"/>
      <c r="B160" s="49" t="n"/>
      <c r="C160" s="49" t="n"/>
      <c r="D160" s="49" t="n"/>
      <c r="E160" s="49">
        <f>IFERROR(VLOOKUP(D160,'Stock Master'!$A$2:$L$49,2,FALSE),"")</f>
        <v/>
      </c>
      <c r="F160" s="51">
        <f>IFERROR(VLOOKUP(D160,'Stock Master'!$A$2:$L$49,5,FALSE),"")</f>
        <v/>
      </c>
      <c r="G160" s="51" t="n"/>
      <c r="H160" s="51" t="n"/>
      <c r="I160" s="51">
        <f>IFERROR(G160+H160,0)</f>
        <v/>
      </c>
      <c r="J160" s="51">
        <f>IFERROR(F160*G160,0)</f>
        <v/>
      </c>
      <c r="K160" s="51">
        <f>IFERROR(F160*H160,0)</f>
        <v/>
      </c>
      <c r="L160" s="49" t="n"/>
      <c r="M160" s="49" t="n"/>
    </row>
    <row r="161">
      <c r="A161" s="52" t="n"/>
      <c r="B161" s="49" t="n"/>
      <c r="C161" s="49" t="n"/>
      <c r="D161" s="49" t="n"/>
      <c r="E161" s="49">
        <f>IFERROR(VLOOKUP(D161,'Stock Master'!$A$2:$L$49,2,FALSE),"")</f>
        <v/>
      </c>
      <c r="F161" s="51">
        <f>IFERROR(VLOOKUP(D161,'Stock Master'!$A$2:$L$49,5,FALSE),"")</f>
        <v/>
      </c>
      <c r="G161" s="51" t="n"/>
      <c r="H161" s="51" t="n"/>
      <c r="I161" s="51">
        <f>IFERROR(G161+H161,0)</f>
        <v/>
      </c>
      <c r="J161" s="51">
        <f>IFERROR(F161*G161,0)</f>
        <v/>
      </c>
      <c r="K161" s="51">
        <f>IFERROR(F161*H161,0)</f>
        <v/>
      </c>
      <c r="L161" s="49" t="n"/>
      <c r="M161" s="49" t="n"/>
    </row>
    <row r="162">
      <c r="A162" s="52" t="n"/>
      <c r="B162" s="49" t="n"/>
      <c r="C162" s="49" t="n"/>
      <c r="D162" s="49" t="n"/>
      <c r="E162" s="49">
        <f>IFERROR(VLOOKUP(D162,'Stock Master'!$A$2:$L$49,2,FALSE),"")</f>
        <v/>
      </c>
      <c r="F162" s="51">
        <f>IFERROR(VLOOKUP(D162,'Stock Master'!$A$2:$L$49,5,FALSE),"")</f>
        <v/>
      </c>
      <c r="G162" s="51" t="n"/>
      <c r="H162" s="51" t="n"/>
      <c r="I162" s="51">
        <f>IFERROR(G162+H162,0)</f>
        <v/>
      </c>
      <c r="J162" s="51">
        <f>IFERROR(F162*G162,0)</f>
        <v/>
      </c>
      <c r="K162" s="51">
        <f>IFERROR(F162*H162,0)</f>
        <v/>
      </c>
      <c r="L162" s="49" t="n"/>
      <c r="M162" s="49" t="n"/>
    </row>
    <row r="163">
      <c r="A163" s="52" t="n"/>
      <c r="B163" s="49" t="n"/>
      <c r="C163" s="49" t="n"/>
      <c r="D163" s="49" t="n"/>
      <c r="E163" s="49">
        <f>IFERROR(VLOOKUP(D163,'Stock Master'!$A$2:$L$49,2,FALSE),"")</f>
        <v/>
      </c>
      <c r="F163" s="51">
        <f>IFERROR(VLOOKUP(D163,'Stock Master'!$A$2:$L$49,5,FALSE),"")</f>
        <v/>
      </c>
      <c r="G163" s="51" t="n"/>
      <c r="H163" s="51" t="n"/>
      <c r="I163" s="51">
        <f>IFERROR(G163+H163,0)</f>
        <v/>
      </c>
      <c r="J163" s="51">
        <f>IFERROR(F163*G163,0)</f>
        <v/>
      </c>
      <c r="K163" s="51">
        <f>IFERROR(F163*H163,0)</f>
        <v/>
      </c>
      <c r="L163" s="49" t="n"/>
      <c r="M163" s="49" t="n"/>
    </row>
    <row r="164">
      <c r="A164" s="52" t="n"/>
      <c r="B164" s="49" t="n"/>
      <c r="C164" s="49" t="n"/>
      <c r="D164" s="49" t="n"/>
      <c r="E164" s="49">
        <f>IFERROR(VLOOKUP(D164,'Stock Master'!$A$2:$L$49,2,FALSE),"")</f>
        <v/>
      </c>
      <c r="F164" s="51">
        <f>IFERROR(VLOOKUP(D164,'Stock Master'!$A$2:$L$49,5,FALSE),"")</f>
        <v/>
      </c>
      <c r="G164" s="51" t="n"/>
      <c r="H164" s="51" t="n"/>
      <c r="I164" s="51">
        <f>IFERROR(G164+H164,0)</f>
        <v/>
      </c>
      <c r="J164" s="51">
        <f>IFERROR(F164*G164,0)</f>
        <v/>
      </c>
      <c r="K164" s="51">
        <f>IFERROR(F164*H164,0)</f>
        <v/>
      </c>
      <c r="L164" s="49" t="n"/>
      <c r="M164" s="49" t="n"/>
    </row>
    <row r="165">
      <c r="A165" s="52" t="n"/>
      <c r="B165" s="49" t="n"/>
      <c r="C165" s="49" t="n"/>
      <c r="D165" s="49" t="n"/>
      <c r="E165" s="49">
        <f>IFERROR(VLOOKUP(D165,'Stock Master'!$A$2:$L$49,2,FALSE),"")</f>
        <v/>
      </c>
      <c r="F165" s="51">
        <f>IFERROR(VLOOKUP(D165,'Stock Master'!$A$2:$L$49,5,FALSE),"")</f>
        <v/>
      </c>
      <c r="G165" s="51" t="n"/>
      <c r="H165" s="51" t="n"/>
      <c r="I165" s="51">
        <f>IFERROR(G165+H165,0)</f>
        <v/>
      </c>
      <c r="J165" s="51">
        <f>IFERROR(F165*G165,0)</f>
        <v/>
      </c>
      <c r="K165" s="51">
        <f>IFERROR(F165*H165,0)</f>
        <v/>
      </c>
      <c r="L165" s="49" t="n"/>
      <c r="M165" s="49" t="n"/>
    </row>
    <row r="166">
      <c r="A166" s="52" t="n"/>
      <c r="B166" s="49" t="n"/>
      <c r="C166" s="49" t="n"/>
      <c r="D166" s="49" t="n"/>
      <c r="E166" s="49">
        <f>IFERROR(VLOOKUP(D166,'Stock Master'!$A$2:$L$49,2,FALSE),"")</f>
        <v/>
      </c>
      <c r="F166" s="51">
        <f>IFERROR(VLOOKUP(D166,'Stock Master'!$A$2:$L$49,5,FALSE),"")</f>
        <v/>
      </c>
      <c r="G166" s="51" t="n"/>
      <c r="H166" s="51" t="n"/>
      <c r="I166" s="51">
        <f>IFERROR(G166+H166,0)</f>
        <v/>
      </c>
      <c r="J166" s="51">
        <f>IFERROR(F166*G166,0)</f>
        <v/>
      </c>
      <c r="K166" s="51">
        <f>IFERROR(F166*H166,0)</f>
        <v/>
      </c>
      <c r="L166" s="49" t="n"/>
      <c r="M166" s="49" t="n"/>
    </row>
    <row r="167">
      <c r="A167" s="52" t="n"/>
      <c r="B167" s="49" t="n"/>
      <c r="C167" s="49" t="n"/>
      <c r="D167" s="49" t="n"/>
      <c r="E167" s="49">
        <f>IFERROR(VLOOKUP(D167,'Stock Master'!$A$2:$L$49,2,FALSE),"")</f>
        <v/>
      </c>
      <c r="F167" s="51">
        <f>IFERROR(VLOOKUP(D167,'Stock Master'!$A$2:$L$49,5,FALSE),"")</f>
        <v/>
      </c>
      <c r="G167" s="51" t="n"/>
      <c r="H167" s="51" t="n"/>
      <c r="I167" s="51">
        <f>IFERROR(G167+H167,0)</f>
        <v/>
      </c>
      <c r="J167" s="51">
        <f>IFERROR(F167*G167,0)</f>
        <v/>
      </c>
      <c r="K167" s="51">
        <f>IFERROR(F167*H167,0)</f>
        <v/>
      </c>
      <c r="L167" s="49" t="n"/>
      <c r="M167" s="49" t="n"/>
    </row>
    <row r="168">
      <c r="A168" s="52" t="n"/>
      <c r="B168" s="49" t="n"/>
      <c r="C168" s="49" t="n"/>
      <c r="D168" s="49" t="n"/>
      <c r="E168" s="49">
        <f>IFERROR(VLOOKUP(D168,'Stock Master'!$A$2:$L$49,2,FALSE),"")</f>
        <v/>
      </c>
      <c r="F168" s="51">
        <f>IFERROR(VLOOKUP(D168,'Stock Master'!$A$2:$L$49,5,FALSE),"")</f>
        <v/>
      </c>
      <c r="G168" s="51" t="n"/>
      <c r="H168" s="51" t="n"/>
      <c r="I168" s="51">
        <f>IFERROR(G168+H168,0)</f>
        <v/>
      </c>
      <c r="J168" s="51">
        <f>IFERROR(F168*G168,0)</f>
        <v/>
      </c>
      <c r="K168" s="51">
        <f>IFERROR(F168*H168,0)</f>
        <v/>
      </c>
      <c r="L168" s="49" t="n"/>
      <c r="M168" s="49" t="n"/>
    </row>
    <row r="169">
      <c r="A169" s="52" t="n"/>
      <c r="B169" s="49" t="n"/>
      <c r="C169" s="49" t="n"/>
      <c r="D169" s="49" t="n"/>
      <c r="E169" s="49">
        <f>IFERROR(VLOOKUP(D169,'Stock Master'!$A$2:$L$49,2,FALSE),"")</f>
        <v/>
      </c>
      <c r="F169" s="51">
        <f>IFERROR(VLOOKUP(D169,'Stock Master'!$A$2:$L$49,5,FALSE),"")</f>
        <v/>
      </c>
      <c r="G169" s="51" t="n"/>
      <c r="H169" s="51" t="n"/>
      <c r="I169" s="51">
        <f>IFERROR(G169+H169,0)</f>
        <v/>
      </c>
      <c r="J169" s="51">
        <f>IFERROR(F169*G169,0)</f>
        <v/>
      </c>
      <c r="K169" s="51">
        <f>IFERROR(F169*H169,0)</f>
        <v/>
      </c>
      <c r="L169" s="49" t="n"/>
      <c r="M169" s="49" t="n"/>
    </row>
    <row r="170">
      <c r="A170" s="52" t="n"/>
      <c r="B170" s="49" t="n"/>
      <c r="C170" s="49" t="n"/>
      <c r="D170" s="49" t="n"/>
      <c r="E170" s="49">
        <f>IFERROR(VLOOKUP(D170,'Stock Master'!$A$2:$L$49,2,FALSE),"")</f>
        <v/>
      </c>
      <c r="F170" s="51">
        <f>IFERROR(VLOOKUP(D170,'Stock Master'!$A$2:$L$49,5,FALSE),"")</f>
        <v/>
      </c>
      <c r="G170" s="51" t="n"/>
      <c r="H170" s="51" t="n"/>
      <c r="I170" s="51">
        <f>IFERROR(G170+H170,0)</f>
        <v/>
      </c>
      <c r="J170" s="51">
        <f>IFERROR(F170*G170,0)</f>
        <v/>
      </c>
      <c r="K170" s="51">
        <f>IFERROR(F170*H170,0)</f>
        <v/>
      </c>
      <c r="L170" s="49" t="n"/>
      <c r="M170" s="49" t="n"/>
    </row>
    <row r="171">
      <c r="A171" s="52" t="n"/>
      <c r="B171" s="49" t="n"/>
      <c r="C171" s="49" t="n"/>
      <c r="D171" s="49" t="n"/>
      <c r="E171" s="49">
        <f>IFERROR(VLOOKUP(D171,'Stock Master'!$A$2:$L$49,2,FALSE),"")</f>
        <v/>
      </c>
      <c r="F171" s="51">
        <f>IFERROR(VLOOKUP(D171,'Stock Master'!$A$2:$L$49,5,FALSE),"")</f>
        <v/>
      </c>
      <c r="G171" s="51" t="n"/>
      <c r="H171" s="51" t="n"/>
      <c r="I171" s="51">
        <f>IFERROR(G171+H171,0)</f>
        <v/>
      </c>
      <c r="J171" s="51">
        <f>IFERROR(F171*G171,0)</f>
        <v/>
      </c>
      <c r="K171" s="51">
        <f>IFERROR(F171*H171,0)</f>
        <v/>
      </c>
      <c r="L171" s="49" t="n"/>
      <c r="M171" s="49" t="n"/>
    </row>
    <row r="172">
      <c r="A172" s="52" t="n"/>
      <c r="B172" s="49" t="n"/>
      <c r="C172" s="49" t="n"/>
      <c r="D172" s="49" t="n"/>
      <c r="E172" s="49">
        <f>IFERROR(VLOOKUP(D172,'Stock Master'!$A$2:$L$49,2,FALSE),"")</f>
        <v/>
      </c>
      <c r="F172" s="51">
        <f>IFERROR(VLOOKUP(D172,'Stock Master'!$A$2:$L$49,5,FALSE),"")</f>
        <v/>
      </c>
      <c r="G172" s="51" t="n"/>
      <c r="H172" s="51" t="n"/>
      <c r="I172" s="51">
        <f>IFERROR(G172+H172,0)</f>
        <v/>
      </c>
      <c r="J172" s="51">
        <f>IFERROR(F172*G172,0)</f>
        <v/>
      </c>
      <c r="K172" s="51">
        <f>IFERROR(F172*H172,0)</f>
        <v/>
      </c>
      <c r="L172" s="49" t="n"/>
      <c r="M172" s="49" t="n"/>
    </row>
    <row r="173">
      <c r="A173" s="52" t="n"/>
      <c r="B173" s="49" t="n"/>
      <c r="C173" s="49" t="n"/>
      <c r="D173" s="49" t="n"/>
      <c r="E173" s="49">
        <f>IFERROR(VLOOKUP(D173,'Stock Master'!$A$2:$L$49,2,FALSE),"")</f>
        <v/>
      </c>
      <c r="F173" s="51">
        <f>IFERROR(VLOOKUP(D173,'Stock Master'!$A$2:$L$49,5,FALSE),"")</f>
        <v/>
      </c>
      <c r="G173" s="51" t="n"/>
      <c r="H173" s="51" t="n"/>
      <c r="I173" s="51">
        <f>IFERROR(G173+H173,0)</f>
        <v/>
      </c>
      <c r="J173" s="51">
        <f>IFERROR(F173*G173,0)</f>
        <v/>
      </c>
      <c r="K173" s="51">
        <f>IFERROR(F173*H173,0)</f>
        <v/>
      </c>
      <c r="L173" s="49" t="n"/>
      <c r="M173" s="49" t="n"/>
    </row>
    <row r="174">
      <c r="A174" s="52" t="n"/>
      <c r="B174" s="49" t="n"/>
      <c r="C174" s="49" t="n"/>
      <c r="D174" s="49" t="n"/>
      <c r="E174" s="49">
        <f>IFERROR(VLOOKUP(D174,'Stock Master'!$A$2:$L$49,2,FALSE),"")</f>
        <v/>
      </c>
      <c r="F174" s="51">
        <f>IFERROR(VLOOKUP(D174,'Stock Master'!$A$2:$L$49,5,FALSE),"")</f>
        <v/>
      </c>
      <c r="G174" s="51" t="n"/>
      <c r="H174" s="51" t="n"/>
      <c r="I174" s="51">
        <f>IFERROR(G174+H174,0)</f>
        <v/>
      </c>
      <c r="J174" s="51">
        <f>IFERROR(F174*G174,0)</f>
        <v/>
      </c>
      <c r="K174" s="51">
        <f>IFERROR(F174*H174,0)</f>
        <v/>
      </c>
      <c r="L174" s="49" t="n"/>
      <c r="M174" s="49" t="n"/>
    </row>
    <row r="175">
      <c r="A175" s="52" t="n"/>
      <c r="B175" s="49" t="n"/>
      <c r="C175" s="49" t="n"/>
      <c r="D175" s="49" t="n"/>
      <c r="E175" s="49">
        <f>IFERROR(VLOOKUP(D175,'Stock Master'!$A$2:$L$49,2,FALSE),"")</f>
        <v/>
      </c>
      <c r="F175" s="51">
        <f>IFERROR(VLOOKUP(D175,'Stock Master'!$A$2:$L$49,5,FALSE),"")</f>
        <v/>
      </c>
      <c r="G175" s="51" t="n"/>
      <c r="H175" s="51" t="n"/>
      <c r="I175" s="51">
        <f>IFERROR(G175+H175,0)</f>
        <v/>
      </c>
      <c r="J175" s="51">
        <f>IFERROR(F175*G175,0)</f>
        <v/>
      </c>
      <c r="K175" s="51">
        <f>IFERROR(F175*H175,0)</f>
        <v/>
      </c>
      <c r="L175" s="49" t="n"/>
      <c r="M175" s="49" t="n"/>
    </row>
    <row r="176">
      <c r="A176" s="52" t="n"/>
      <c r="B176" s="49" t="n"/>
      <c r="C176" s="49" t="n"/>
      <c r="D176" s="49" t="n"/>
      <c r="E176" s="49">
        <f>IFERROR(VLOOKUP(D176,'Stock Master'!$A$2:$L$49,2,FALSE),"")</f>
        <v/>
      </c>
      <c r="F176" s="51">
        <f>IFERROR(VLOOKUP(D176,'Stock Master'!$A$2:$L$49,5,FALSE),"")</f>
        <v/>
      </c>
      <c r="G176" s="51" t="n"/>
      <c r="H176" s="51" t="n"/>
      <c r="I176" s="51">
        <f>IFERROR(G176+H176,0)</f>
        <v/>
      </c>
      <c r="J176" s="51">
        <f>IFERROR(F176*G176,0)</f>
        <v/>
      </c>
      <c r="K176" s="51">
        <f>IFERROR(F176*H176,0)</f>
        <v/>
      </c>
      <c r="L176" s="49" t="n"/>
      <c r="M176" s="49" t="n"/>
    </row>
    <row r="177">
      <c r="A177" s="52" t="n"/>
      <c r="B177" s="49" t="n"/>
      <c r="C177" s="49" t="n"/>
      <c r="D177" s="49" t="n"/>
      <c r="E177" s="49">
        <f>IFERROR(VLOOKUP(D177,'Stock Master'!$A$2:$L$49,2,FALSE),"")</f>
        <v/>
      </c>
      <c r="F177" s="51">
        <f>IFERROR(VLOOKUP(D177,'Stock Master'!$A$2:$L$49,5,FALSE),"")</f>
        <v/>
      </c>
      <c r="G177" s="51" t="n"/>
      <c r="H177" s="51" t="n"/>
      <c r="I177" s="51">
        <f>IFERROR(G177+H177,0)</f>
        <v/>
      </c>
      <c r="J177" s="51">
        <f>IFERROR(F177*G177,0)</f>
        <v/>
      </c>
      <c r="K177" s="51">
        <f>IFERROR(F177*H177,0)</f>
        <v/>
      </c>
      <c r="L177" s="49" t="n"/>
      <c r="M177" s="49" t="n"/>
    </row>
    <row r="178">
      <c r="A178" s="52" t="n"/>
      <c r="B178" s="49" t="n"/>
      <c r="C178" s="49" t="n"/>
      <c r="D178" s="49" t="n"/>
      <c r="E178" s="49">
        <f>IFERROR(VLOOKUP(D178,'Stock Master'!$A$2:$L$49,2,FALSE),"")</f>
        <v/>
      </c>
      <c r="F178" s="51">
        <f>IFERROR(VLOOKUP(D178,'Stock Master'!$A$2:$L$49,5,FALSE),"")</f>
        <v/>
      </c>
      <c r="G178" s="51" t="n"/>
      <c r="H178" s="51" t="n"/>
      <c r="I178" s="51">
        <f>IFERROR(G178+H178,0)</f>
        <v/>
      </c>
      <c r="J178" s="51">
        <f>IFERROR(F178*G178,0)</f>
        <v/>
      </c>
      <c r="K178" s="51">
        <f>IFERROR(F178*H178,0)</f>
        <v/>
      </c>
      <c r="L178" s="49" t="n"/>
      <c r="M178" s="49" t="n"/>
    </row>
    <row r="179">
      <c r="A179" s="52" t="n"/>
      <c r="B179" s="49" t="n"/>
      <c r="C179" s="49" t="n"/>
      <c r="D179" s="49" t="n"/>
      <c r="E179" s="49">
        <f>IFERROR(VLOOKUP(D179,'Stock Master'!$A$2:$L$49,2,FALSE),"")</f>
        <v/>
      </c>
      <c r="F179" s="51">
        <f>IFERROR(VLOOKUP(D179,'Stock Master'!$A$2:$L$49,5,FALSE),"")</f>
        <v/>
      </c>
      <c r="G179" s="51" t="n"/>
      <c r="H179" s="51" t="n"/>
      <c r="I179" s="51">
        <f>IFERROR(G179+H179,0)</f>
        <v/>
      </c>
      <c r="J179" s="51">
        <f>IFERROR(F179*G179,0)</f>
        <v/>
      </c>
      <c r="K179" s="51">
        <f>IFERROR(F179*H179,0)</f>
        <v/>
      </c>
      <c r="L179" s="49" t="n"/>
      <c r="M179" s="49" t="n"/>
    </row>
    <row r="180">
      <c r="A180" s="52" t="n"/>
      <c r="B180" s="49" t="n"/>
      <c r="C180" s="49" t="n"/>
      <c r="D180" s="49" t="n"/>
      <c r="E180" s="49">
        <f>IFERROR(VLOOKUP(D180,'Stock Master'!$A$2:$L$49,2,FALSE),"")</f>
        <v/>
      </c>
      <c r="F180" s="51">
        <f>IFERROR(VLOOKUP(D180,'Stock Master'!$A$2:$L$49,5,FALSE),"")</f>
        <v/>
      </c>
      <c r="G180" s="51" t="n"/>
      <c r="H180" s="51" t="n"/>
      <c r="I180" s="51">
        <f>IFERROR(G180+H180,0)</f>
        <v/>
      </c>
      <c r="J180" s="51">
        <f>IFERROR(F180*G180,0)</f>
        <v/>
      </c>
      <c r="K180" s="51">
        <f>IFERROR(F180*H180,0)</f>
        <v/>
      </c>
      <c r="L180" s="49" t="n"/>
      <c r="M180" s="49" t="n"/>
    </row>
    <row r="181">
      <c r="A181" s="52" t="n"/>
      <c r="B181" s="49" t="n"/>
      <c r="C181" s="49" t="n"/>
      <c r="D181" s="49" t="n"/>
      <c r="E181" s="49">
        <f>IFERROR(VLOOKUP(D181,'Stock Master'!$A$2:$L$49,2,FALSE),"")</f>
        <v/>
      </c>
      <c r="F181" s="51">
        <f>IFERROR(VLOOKUP(D181,'Stock Master'!$A$2:$L$49,5,FALSE),"")</f>
        <v/>
      </c>
      <c r="G181" s="51" t="n"/>
      <c r="H181" s="51" t="n"/>
      <c r="I181" s="51">
        <f>IFERROR(G181+H181,0)</f>
        <v/>
      </c>
      <c r="J181" s="51">
        <f>IFERROR(F181*G181,0)</f>
        <v/>
      </c>
      <c r="K181" s="51">
        <f>IFERROR(F181*H181,0)</f>
        <v/>
      </c>
      <c r="L181" s="49" t="n"/>
      <c r="M181" s="49" t="n"/>
    </row>
    <row r="182">
      <c r="A182" s="52" t="n"/>
      <c r="B182" s="49" t="n"/>
      <c r="C182" s="49" t="n"/>
      <c r="D182" s="49" t="n"/>
      <c r="E182" s="49">
        <f>IFERROR(VLOOKUP(D182,'Stock Master'!$A$2:$L$49,2,FALSE),"")</f>
        <v/>
      </c>
      <c r="F182" s="51">
        <f>IFERROR(VLOOKUP(D182,'Stock Master'!$A$2:$L$49,5,FALSE),"")</f>
        <v/>
      </c>
      <c r="G182" s="51" t="n"/>
      <c r="H182" s="51" t="n"/>
      <c r="I182" s="51">
        <f>IFERROR(G182+H182,0)</f>
        <v/>
      </c>
      <c r="J182" s="51">
        <f>IFERROR(F182*G182,0)</f>
        <v/>
      </c>
      <c r="K182" s="51">
        <f>IFERROR(F182*H182,0)</f>
        <v/>
      </c>
      <c r="L182" s="49" t="n"/>
      <c r="M182" s="49" t="n"/>
    </row>
    <row r="183">
      <c r="A183" s="52" t="n"/>
      <c r="B183" s="49" t="n"/>
      <c r="C183" s="49" t="n"/>
      <c r="D183" s="49" t="n"/>
      <c r="E183" s="49">
        <f>IFERROR(VLOOKUP(D183,'Stock Master'!$A$2:$L$49,2,FALSE),"")</f>
        <v/>
      </c>
      <c r="F183" s="51">
        <f>IFERROR(VLOOKUP(D183,'Stock Master'!$A$2:$L$49,5,FALSE),"")</f>
        <v/>
      </c>
      <c r="G183" s="51" t="n"/>
      <c r="H183" s="51" t="n"/>
      <c r="I183" s="51">
        <f>IFERROR(G183+H183,0)</f>
        <v/>
      </c>
      <c r="J183" s="51">
        <f>IFERROR(F183*G183,0)</f>
        <v/>
      </c>
      <c r="K183" s="51">
        <f>IFERROR(F183*H183,0)</f>
        <v/>
      </c>
      <c r="L183" s="49" t="n"/>
      <c r="M183" s="49" t="n"/>
    </row>
    <row r="184">
      <c r="A184" s="52" t="n"/>
      <c r="B184" s="49" t="n"/>
      <c r="C184" s="49" t="n"/>
      <c r="D184" s="49" t="n"/>
      <c r="E184" s="49">
        <f>IFERROR(VLOOKUP(D184,'Stock Master'!$A$2:$L$49,2,FALSE),"")</f>
        <v/>
      </c>
      <c r="F184" s="51">
        <f>IFERROR(VLOOKUP(D184,'Stock Master'!$A$2:$L$49,5,FALSE),"")</f>
        <v/>
      </c>
      <c r="G184" s="51" t="n"/>
      <c r="H184" s="51" t="n"/>
      <c r="I184" s="51">
        <f>IFERROR(G184+H184,0)</f>
        <v/>
      </c>
      <c r="J184" s="51">
        <f>IFERROR(F184*G184,0)</f>
        <v/>
      </c>
      <c r="K184" s="51">
        <f>IFERROR(F184*H184,0)</f>
        <v/>
      </c>
      <c r="L184" s="49" t="n"/>
      <c r="M184" s="49" t="n"/>
    </row>
    <row r="185">
      <c r="A185" s="52" t="n"/>
      <c r="B185" s="49" t="n"/>
      <c r="C185" s="49" t="n"/>
      <c r="D185" s="49" t="n"/>
      <c r="E185" s="49">
        <f>IFERROR(VLOOKUP(D185,'Stock Master'!$A$2:$L$49,2,FALSE),"")</f>
        <v/>
      </c>
      <c r="F185" s="51">
        <f>IFERROR(VLOOKUP(D185,'Stock Master'!$A$2:$L$49,5,FALSE),"")</f>
        <v/>
      </c>
      <c r="G185" s="51" t="n"/>
      <c r="H185" s="51" t="n"/>
      <c r="I185" s="51">
        <f>IFERROR(G185+H185,0)</f>
        <v/>
      </c>
      <c r="J185" s="51">
        <f>IFERROR(F185*G185,0)</f>
        <v/>
      </c>
      <c r="K185" s="51">
        <f>IFERROR(F185*H185,0)</f>
        <v/>
      </c>
      <c r="L185" s="49" t="n"/>
      <c r="M185" s="49" t="n"/>
    </row>
    <row r="186">
      <c r="A186" s="52" t="n"/>
      <c r="B186" s="49" t="n"/>
      <c r="C186" s="49" t="n"/>
      <c r="D186" s="49" t="n"/>
      <c r="E186" s="49">
        <f>IFERROR(VLOOKUP(D186,'Stock Master'!$A$2:$L$49,2,FALSE),"")</f>
        <v/>
      </c>
      <c r="F186" s="51">
        <f>IFERROR(VLOOKUP(D186,'Stock Master'!$A$2:$L$49,5,FALSE),"")</f>
        <v/>
      </c>
      <c r="G186" s="51" t="n"/>
      <c r="H186" s="51" t="n"/>
      <c r="I186" s="51">
        <f>IFERROR(G186+H186,0)</f>
        <v/>
      </c>
      <c r="J186" s="51">
        <f>IFERROR(F186*G186,0)</f>
        <v/>
      </c>
      <c r="K186" s="51">
        <f>IFERROR(F186*H186,0)</f>
        <v/>
      </c>
      <c r="L186" s="49" t="n"/>
      <c r="M186" s="49" t="n"/>
    </row>
    <row r="187">
      <c r="A187" s="52" t="n"/>
      <c r="B187" s="49" t="n"/>
      <c r="C187" s="49" t="n"/>
      <c r="D187" s="49" t="n"/>
      <c r="E187" s="49">
        <f>IFERROR(VLOOKUP(D187,'Stock Master'!$A$2:$L$49,2,FALSE),"")</f>
        <v/>
      </c>
      <c r="F187" s="51">
        <f>IFERROR(VLOOKUP(D187,'Stock Master'!$A$2:$L$49,5,FALSE),"")</f>
        <v/>
      </c>
      <c r="G187" s="51" t="n"/>
      <c r="H187" s="51" t="n"/>
      <c r="I187" s="51">
        <f>IFERROR(G187+H187,0)</f>
        <v/>
      </c>
      <c r="J187" s="51">
        <f>IFERROR(F187*G187,0)</f>
        <v/>
      </c>
      <c r="K187" s="51">
        <f>IFERROR(F187*H187,0)</f>
        <v/>
      </c>
      <c r="L187" s="49" t="n"/>
      <c r="M187" s="49" t="n"/>
    </row>
    <row r="188">
      <c r="A188" s="52" t="n"/>
      <c r="B188" s="49" t="n"/>
      <c r="C188" s="49" t="n"/>
      <c r="D188" s="49" t="n"/>
      <c r="E188" s="49">
        <f>IFERROR(VLOOKUP(D188,'Stock Master'!$A$2:$L$49,2,FALSE),"")</f>
        <v/>
      </c>
      <c r="F188" s="51">
        <f>IFERROR(VLOOKUP(D188,'Stock Master'!$A$2:$L$49,5,FALSE),"")</f>
        <v/>
      </c>
      <c r="G188" s="51" t="n"/>
      <c r="H188" s="51" t="n"/>
      <c r="I188" s="51">
        <f>IFERROR(G188+H188,0)</f>
        <v/>
      </c>
      <c r="J188" s="51">
        <f>IFERROR(F188*G188,0)</f>
        <v/>
      </c>
      <c r="K188" s="51">
        <f>IFERROR(F188*H188,0)</f>
        <v/>
      </c>
      <c r="L188" s="49" t="n"/>
      <c r="M188" s="49" t="n"/>
    </row>
    <row r="189">
      <c r="A189" s="52" t="n"/>
      <c r="B189" s="49" t="n"/>
      <c r="C189" s="49" t="n"/>
      <c r="D189" s="49" t="n"/>
      <c r="E189" s="49">
        <f>IFERROR(VLOOKUP(D189,'Stock Master'!$A$2:$L$49,2,FALSE),"")</f>
        <v/>
      </c>
      <c r="F189" s="51">
        <f>IFERROR(VLOOKUP(D189,'Stock Master'!$A$2:$L$49,5,FALSE),"")</f>
        <v/>
      </c>
      <c r="G189" s="51" t="n"/>
      <c r="H189" s="51" t="n"/>
      <c r="I189" s="51">
        <f>IFERROR(G189+H189,0)</f>
        <v/>
      </c>
      <c r="J189" s="51">
        <f>IFERROR(F189*G189,0)</f>
        <v/>
      </c>
      <c r="K189" s="51">
        <f>IFERROR(F189*H189,0)</f>
        <v/>
      </c>
      <c r="L189" s="49" t="n"/>
      <c r="M189" s="49" t="n"/>
    </row>
    <row r="190">
      <c r="A190" s="52" t="n"/>
      <c r="B190" s="49" t="n"/>
      <c r="C190" s="49" t="n"/>
      <c r="D190" s="49" t="n"/>
      <c r="E190" s="49">
        <f>IFERROR(VLOOKUP(D190,'Stock Master'!$A$2:$L$49,2,FALSE),"")</f>
        <v/>
      </c>
      <c r="F190" s="51">
        <f>IFERROR(VLOOKUP(D190,'Stock Master'!$A$2:$L$49,5,FALSE),"")</f>
        <v/>
      </c>
      <c r="G190" s="51" t="n"/>
      <c r="H190" s="51" t="n"/>
      <c r="I190" s="51">
        <f>IFERROR(G190+H190,0)</f>
        <v/>
      </c>
      <c r="J190" s="51">
        <f>IFERROR(F190*G190,0)</f>
        <v/>
      </c>
      <c r="K190" s="51">
        <f>IFERROR(F190*H190,0)</f>
        <v/>
      </c>
      <c r="L190" s="49" t="n"/>
      <c r="M190" s="49" t="n"/>
    </row>
    <row r="191">
      <c r="A191" s="52" t="n"/>
      <c r="B191" s="49" t="n"/>
      <c r="C191" s="49" t="n"/>
      <c r="D191" s="49" t="n"/>
      <c r="E191" s="49">
        <f>IFERROR(VLOOKUP(D191,'Stock Master'!$A$2:$L$49,2,FALSE),"")</f>
        <v/>
      </c>
      <c r="F191" s="51">
        <f>IFERROR(VLOOKUP(D191,'Stock Master'!$A$2:$L$49,5,FALSE),"")</f>
        <v/>
      </c>
      <c r="G191" s="51" t="n"/>
      <c r="H191" s="51" t="n"/>
      <c r="I191" s="51">
        <f>IFERROR(G191+H191,0)</f>
        <v/>
      </c>
      <c r="J191" s="51">
        <f>IFERROR(F191*G191,0)</f>
        <v/>
      </c>
      <c r="K191" s="51">
        <f>IFERROR(F191*H191,0)</f>
        <v/>
      </c>
      <c r="L191" s="49" t="n"/>
      <c r="M191" s="49" t="n"/>
    </row>
    <row r="192">
      <c r="A192" s="52" t="n"/>
      <c r="B192" s="49" t="n"/>
      <c r="C192" s="49" t="n"/>
      <c r="D192" s="49" t="n"/>
      <c r="E192" s="49">
        <f>IFERROR(VLOOKUP(D192,'Stock Master'!$A$2:$L$49,2,FALSE),"")</f>
        <v/>
      </c>
      <c r="F192" s="51">
        <f>IFERROR(VLOOKUP(D192,'Stock Master'!$A$2:$L$49,5,FALSE),"")</f>
        <v/>
      </c>
      <c r="G192" s="51" t="n"/>
      <c r="H192" s="51" t="n"/>
      <c r="I192" s="51">
        <f>IFERROR(G192+H192,0)</f>
        <v/>
      </c>
      <c r="J192" s="51">
        <f>IFERROR(F192*G192,0)</f>
        <v/>
      </c>
      <c r="K192" s="51">
        <f>IFERROR(F192*H192,0)</f>
        <v/>
      </c>
      <c r="L192" s="49" t="n"/>
      <c r="M192" s="49" t="n"/>
    </row>
    <row r="193">
      <c r="A193" s="52" t="n"/>
      <c r="B193" s="49" t="n"/>
      <c r="C193" s="49" t="n"/>
      <c r="D193" s="49" t="n"/>
      <c r="E193" s="49">
        <f>IFERROR(VLOOKUP(D193,'Stock Master'!$A$2:$L$49,2,FALSE),"")</f>
        <v/>
      </c>
      <c r="F193" s="51">
        <f>IFERROR(VLOOKUP(D193,'Stock Master'!$A$2:$L$49,5,FALSE),"")</f>
        <v/>
      </c>
      <c r="G193" s="51" t="n"/>
      <c r="H193" s="51" t="n"/>
      <c r="I193" s="51">
        <f>IFERROR(G193+H193,0)</f>
        <v/>
      </c>
      <c r="J193" s="51">
        <f>IFERROR(F193*G193,0)</f>
        <v/>
      </c>
      <c r="K193" s="51">
        <f>IFERROR(F193*H193,0)</f>
        <v/>
      </c>
      <c r="L193" s="49" t="n"/>
      <c r="M193" s="49" t="n"/>
    </row>
    <row r="194">
      <c r="A194" s="52" t="n"/>
      <c r="B194" s="49" t="n"/>
      <c r="C194" s="49" t="n"/>
      <c r="D194" s="49" t="n"/>
      <c r="E194" s="49">
        <f>IFERROR(VLOOKUP(D194,'Stock Master'!$A$2:$L$49,2,FALSE),"")</f>
        <v/>
      </c>
      <c r="F194" s="51">
        <f>IFERROR(VLOOKUP(D194,'Stock Master'!$A$2:$L$49,5,FALSE),"")</f>
        <v/>
      </c>
      <c r="G194" s="51" t="n"/>
      <c r="H194" s="51" t="n"/>
      <c r="I194" s="51">
        <f>IFERROR(G194+H194,0)</f>
        <v/>
      </c>
      <c r="J194" s="51">
        <f>IFERROR(F194*G194,0)</f>
        <v/>
      </c>
      <c r="K194" s="51">
        <f>IFERROR(F194*H194,0)</f>
        <v/>
      </c>
      <c r="L194" s="49" t="n"/>
      <c r="M194" s="49" t="n"/>
    </row>
    <row r="195">
      <c r="A195" s="52" t="n"/>
      <c r="B195" s="49" t="n"/>
      <c r="C195" s="49" t="n"/>
      <c r="D195" s="49" t="n"/>
      <c r="E195" s="49">
        <f>IFERROR(VLOOKUP(D195,'Stock Master'!$A$2:$L$49,2,FALSE),"")</f>
        <v/>
      </c>
      <c r="F195" s="51">
        <f>IFERROR(VLOOKUP(D195,'Stock Master'!$A$2:$L$49,5,FALSE),"")</f>
        <v/>
      </c>
      <c r="G195" s="51" t="n"/>
      <c r="H195" s="51" t="n"/>
      <c r="I195" s="51">
        <f>IFERROR(G195+H195,0)</f>
        <v/>
      </c>
      <c r="J195" s="51">
        <f>IFERROR(F195*G195,0)</f>
        <v/>
      </c>
      <c r="K195" s="51">
        <f>IFERROR(F195*H195,0)</f>
        <v/>
      </c>
      <c r="L195" s="49" t="n"/>
      <c r="M195" s="49" t="n"/>
    </row>
    <row r="196">
      <c r="A196" s="52" t="n"/>
      <c r="B196" s="49" t="n"/>
      <c r="C196" s="49" t="n"/>
      <c r="D196" s="49" t="n"/>
      <c r="E196" s="49">
        <f>IFERROR(VLOOKUP(D196,'Stock Master'!$A$2:$L$49,2,FALSE),"")</f>
        <v/>
      </c>
      <c r="F196" s="51">
        <f>IFERROR(VLOOKUP(D196,'Stock Master'!$A$2:$L$49,5,FALSE),"")</f>
        <v/>
      </c>
      <c r="G196" s="51" t="n"/>
      <c r="H196" s="51" t="n"/>
      <c r="I196" s="51">
        <f>IFERROR(G196+H196,0)</f>
        <v/>
      </c>
      <c r="J196" s="51">
        <f>IFERROR(F196*G196,0)</f>
        <v/>
      </c>
      <c r="K196" s="51">
        <f>IFERROR(F196*H196,0)</f>
        <v/>
      </c>
      <c r="L196" s="49" t="n"/>
      <c r="M196" s="49" t="n"/>
    </row>
    <row r="197">
      <c r="A197" s="52" t="n"/>
      <c r="B197" s="49" t="n"/>
      <c r="C197" s="49" t="n"/>
      <c r="D197" s="49" t="n"/>
      <c r="E197" s="49">
        <f>IFERROR(VLOOKUP(D197,'Stock Master'!$A$2:$L$49,2,FALSE),"")</f>
        <v/>
      </c>
      <c r="F197" s="51">
        <f>IFERROR(VLOOKUP(D197,'Stock Master'!$A$2:$L$49,5,FALSE),"")</f>
        <v/>
      </c>
      <c r="G197" s="51" t="n"/>
      <c r="H197" s="51" t="n"/>
      <c r="I197" s="51">
        <f>IFERROR(G197+H197,0)</f>
        <v/>
      </c>
      <c r="J197" s="51">
        <f>IFERROR(F197*G197,0)</f>
        <v/>
      </c>
      <c r="K197" s="51">
        <f>IFERROR(F197*H197,0)</f>
        <v/>
      </c>
      <c r="L197" s="49" t="n"/>
      <c r="M197" s="49" t="n"/>
    </row>
    <row r="198">
      <c r="A198" s="52" t="n"/>
      <c r="B198" s="49" t="n"/>
      <c r="C198" s="49" t="n"/>
      <c r="D198" s="49" t="n"/>
      <c r="E198" s="49">
        <f>IFERROR(VLOOKUP(D198,'Stock Master'!$A$2:$L$49,2,FALSE),"")</f>
        <v/>
      </c>
      <c r="F198" s="51">
        <f>IFERROR(VLOOKUP(D198,'Stock Master'!$A$2:$L$49,5,FALSE),"")</f>
        <v/>
      </c>
      <c r="G198" s="51" t="n"/>
      <c r="H198" s="51" t="n"/>
      <c r="I198" s="51">
        <f>IFERROR(G198+H198,0)</f>
        <v/>
      </c>
      <c r="J198" s="51">
        <f>IFERROR(F198*G198,0)</f>
        <v/>
      </c>
      <c r="K198" s="51">
        <f>IFERROR(F198*H198,0)</f>
        <v/>
      </c>
      <c r="L198" s="49" t="n"/>
      <c r="M198" s="49" t="n"/>
    </row>
    <row r="199">
      <c r="A199" s="52" t="n"/>
      <c r="B199" s="49" t="n"/>
      <c r="C199" s="49" t="n"/>
      <c r="D199" s="49" t="n"/>
      <c r="E199" s="49">
        <f>IFERROR(VLOOKUP(D199,'Stock Master'!$A$2:$L$49,2,FALSE),"")</f>
        <v/>
      </c>
      <c r="F199" s="51">
        <f>IFERROR(VLOOKUP(D199,'Stock Master'!$A$2:$L$49,5,FALSE),"")</f>
        <v/>
      </c>
      <c r="G199" s="51" t="n"/>
      <c r="H199" s="51" t="n"/>
      <c r="I199" s="51">
        <f>IFERROR(G199+H199,0)</f>
        <v/>
      </c>
      <c r="J199" s="51">
        <f>IFERROR(F199*G199,0)</f>
        <v/>
      </c>
      <c r="K199" s="51">
        <f>IFERROR(F199*H199,0)</f>
        <v/>
      </c>
      <c r="L199" s="49" t="n"/>
      <c r="M199" s="49" t="n"/>
    </row>
    <row r="200">
      <c r="A200" s="52" t="n"/>
      <c r="B200" s="49" t="n"/>
      <c r="C200" s="49" t="n"/>
      <c r="D200" s="49" t="n"/>
      <c r="E200" s="49">
        <f>IFERROR(VLOOKUP(D200,'Stock Master'!$A$2:$L$49,2,FALSE),"")</f>
        <v/>
      </c>
      <c r="F200" s="51">
        <f>IFERROR(VLOOKUP(D200,'Stock Master'!$A$2:$L$49,5,FALSE),"")</f>
        <v/>
      </c>
      <c r="G200" s="51" t="n"/>
      <c r="H200" s="51" t="n"/>
      <c r="I200" s="51">
        <f>IFERROR(G200+H200,0)</f>
        <v/>
      </c>
      <c r="J200" s="51">
        <f>IFERROR(F200*G200,0)</f>
        <v/>
      </c>
      <c r="K200" s="51">
        <f>IFERROR(F200*H200,0)</f>
        <v/>
      </c>
      <c r="L200" s="49" t="n"/>
      <c r="M200" s="49" t="n"/>
    </row>
    <row r="201">
      <c r="A201" s="52" t="n"/>
      <c r="B201" s="49" t="n"/>
      <c r="C201" s="49" t="n"/>
      <c r="D201" s="49" t="n"/>
      <c r="E201" s="49">
        <f>IFERROR(VLOOKUP(D201,'Stock Master'!$A$2:$L$49,2,FALSE),"")</f>
        <v/>
      </c>
      <c r="F201" s="51">
        <f>IFERROR(VLOOKUP(D201,'Stock Master'!$A$2:$L$49,5,FALSE),"")</f>
        <v/>
      </c>
      <c r="G201" s="51" t="n"/>
      <c r="H201" s="51" t="n"/>
      <c r="I201" s="51">
        <f>IFERROR(G201+H201,0)</f>
        <v/>
      </c>
      <c r="J201" s="51">
        <f>IFERROR(F201*G201,0)</f>
        <v/>
      </c>
      <c r="K201" s="51">
        <f>IFERROR(F201*H201,0)</f>
        <v/>
      </c>
      <c r="L201" s="49" t="n"/>
      <c r="M201" s="49" t="n"/>
    </row>
    <row r="202">
      <c r="A202" s="52" t="n"/>
      <c r="B202" s="49" t="n"/>
      <c r="C202" s="49" t="n"/>
      <c r="D202" s="49" t="n"/>
      <c r="E202" s="49">
        <f>IFERROR(VLOOKUP(D202,'Stock Master'!$A$2:$L$49,2,FALSE),"")</f>
        <v/>
      </c>
      <c r="F202" s="51">
        <f>IFERROR(VLOOKUP(D202,'Stock Master'!$A$2:$L$49,5,FALSE),"")</f>
        <v/>
      </c>
      <c r="G202" s="51" t="n"/>
      <c r="H202" s="51" t="n"/>
      <c r="I202" s="51">
        <f>IFERROR(G202+H202,0)</f>
        <v/>
      </c>
      <c r="J202" s="51">
        <f>IFERROR(F202*G202,0)</f>
        <v/>
      </c>
      <c r="K202" s="51">
        <f>IFERROR(F202*H202,0)</f>
        <v/>
      </c>
      <c r="L202" s="49" t="n"/>
      <c r="M202" s="49" t="n"/>
    </row>
    <row r="203">
      <c r="A203" s="52" t="n"/>
      <c r="B203" s="49" t="n"/>
      <c r="C203" s="49" t="n"/>
      <c r="D203" s="49" t="n"/>
      <c r="E203" s="49">
        <f>IFERROR(VLOOKUP(D203,'Stock Master'!$A$2:$L$49,2,FALSE),"")</f>
        <v/>
      </c>
      <c r="F203" s="51">
        <f>IFERROR(VLOOKUP(D203,'Stock Master'!$A$2:$L$49,5,FALSE),"")</f>
        <v/>
      </c>
      <c r="G203" s="51" t="n"/>
      <c r="H203" s="51" t="n"/>
      <c r="I203" s="51">
        <f>IFERROR(G203+H203,0)</f>
        <v/>
      </c>
      <c r="J203" s="51">
        <f>IFERROR(F203*G203,0)</f>
        <v/>
      </c>
      <c r="K203" s="51">
        <f>IFERROR(F203*H203,0)</f>
        <v/>
      </c>
      <c r="L203" s="49" t="n"/>
      <c r="M203" s="49" t="n"/>
    </row>
    <row r="204">
      <c r="A204" s="52" t="n"/>
      <c r="B204" s="49" t="n"/>
      <c r="C204" s="49" t="n"/>
      <c r="D204" s="49" t="n"/>
      <c r="E204" s="49">
        <f>IFERROR(VLOOKUP(D204,'Stock Master'!$A$2:$L$49,2,FALSE),"")</f>
        <v/>
      </c>
      <c r="F204" s="51">
        <f>IFERROR(VLOOKUP(D204,'Stock Master'!$A$2:$L$49,5,FALSE),"")</f>
        <v/>
      </c>
      <c r="G204" s="51" t="n"/>
      <c r="H204" s="51" t="n"/>
      <c r="I204" s="51">
        <f>IFERROR(G204+H204,0)</f>
        <v/>
      </c>
      <c r="J204" s="51">
        <f>IFERROR(F204*G204,0)</f>
        <v/>
      </c>
      <c r="K204" s="51">
        <f>IFERROR(F204*H204,0)</f>
        <v/>
      </c>
      <c r="L204" s="49" t="n"/>
      <c r="M204" s="49" t="n"/>
    </row>
    <row r="205">
      <c r="A205" s="52" t="n"/>
      <c r="B205" s="49" t="n"/>
      <c r="C205" s="49" t="n"/>
      <c r="D205" s="49" t="n"/>
      <c r="E205" s="49">
        <f>IFERROR(VLOOKUP(D205,'Stock Master'!$A$2:$L$49,2,FALSE),"")</f>
        <v/>
      </c>
      <c r="F205" s="51">
        <f>IFERROR(VLOOKUP(D205,'Stock Master'!$A$2:$L$49,5,FALSE),"")</f>
        <v/>
      </c>
      <c r="G205" s="51" t="n"/>
      <c r="H205" s="51" t="n"/>
      <c r="I205" s="51">
        <f>IFERROR(G205+H205,0)</f>
        <v/>
      </c>
      <c r="J205" s="51">
        <f>IFERROR(F205*G205,0)</f>
        <v/>
      </c>
      <c r="K205" s="51">
        <f>IFERROR(F205*H205,0)</f>
        <v/>
      </c>
      <c r="L205" s="49" t="n"/>
      <c r="M205" s="49" t="n"/>
    </row>
    <row r="206">
      <c r="A206" s="52" t="n"/>
      <c r="B206" s="49" t="n"/>
      <c r="C206" s="49" t="n"/>
      <c r="D206" s="49" t="n"/>
      <c r="E206" s="49">
        <f>IFERROR(VLOOKUP(D206,'Stock Master'!$A$2:$L$49,2,FALSE),"")</f>
        <v/>
      </c>
      <c r="F206" s="51">
        <f>IFERROR(VLOOKUP(D206,'Stock Master'!$A$2:$L$49,5,FALSE),"")</f>
        <v/>
      </c>
      <c r="G206" s="51" t="n"/>
      <c r="H206" s="51" t="n"/>
      <c r="I206" s="51">
        <f>IFERROR(G206+H206,0)</f>
        <v/>
      </c>
      <c r="J206" s="51">
        <f>IFERROR(F206*G206,0)</f>
        <v/>
      </c>
      <c r="K206" s="51">
        <f>IFERROR(F206*H206,0)</f>
        <v/>
      </c>
      <c r="L206" s="49" t="n"/>
      <c r="M206" s="49" t="n"/>
    </row>
    <row r="207">
      <c r="A207" s="52" t="n"/>
      <c r="B207" s="49" t="n"/>
      <c r="C207" s="49" t="n"/>
      <c r="D207" s="49" t="n"/>
      <c r="E207" s="49">
        <f>IFERROR(VLOOKUP(D207,'Stock Master'!$A$2:$L$49,2,FALSE),"")</f>
        <v/>
      </c>
      <c r="F207" s="51">
        <f>IFERROR(VLOOKUP(D207,'Stock Master'!$A$2:$L$49,5,FALSE),"")</f>
        <v/>
      </c>
      <c r="G207" s="51" t="n"/>
      <c r="H207" s="51" t="n"/>
      <c r="I207" s="51">
        <f>IFERROR(G207+H207,0)</f>
        <v/>
      </c>
      <c r="J207" s="51">
        <f>IFERROR(F207*G207,0)</f>
        <v/>
      </c>
      <c r="K207" s="51">
        <f>IFERROR(F207*H207,0)</f>
        <v/>
      </c>
      <c r="L207" s="49" t="n"/>
      <c r="M207" s="49" t="n"/>
    </row>
    <row r="208">
      <c r="A208" s="52" t="n"/>
      <c r="B208" s="49" t="n"/>
      <c r="C208" s="49" t="n"/>
      <c r="D208" s="49" t="n"/>
      <c r="E208" s="49">
        <f>IFERROR(VLOOKUP(D208,'Stock Master'!$A$2:$L$49,2,FALSE),"")</f>
        <v/>
      </c>
      <c r="F208" s="51">
        <f>IFERROR(VLOOKUP(D208,'Stock Master'!$A$2:$L$49,5,FALSE),"")</f>
        <v/>
      </c>
      <c r="G208" s="51" t="n"/>
      <c r="H208" s="51" t="n"/>
      <c r="I208" s="51">
        <f>IFERROR(G208+H208,0)</f>
        <v/>
      </c>
      <c r="J208" s="51">
        <f>IFERROR(F208*G208,0)</f>
        <v/>
      </c>
      <c r="K208" s="51">
        <f>IFERROR(F208*H208,0)</f>
        <v/>
      </c>
      <c r="L208" s="49" t="n"/>
      <c r="M208" s="49" t="n"/>
    </row>
    <row r="209">
      <c r="A209" s="52" t="n"/>
      <c r="B209" s="49" t="n"/>
      <c r="C209" s="49" t="n"/>
      <c r="D209" s="49" t="n"/>
      <c r="E209" s="49">
        <f>IFERROR(VLOOKUP(D209,'Stock Master'!$A$2:$L$49,2,FALSE),"")</f>
        <v/>
      </c>
      <c r="F209" s="51">
        <f>IFERROR(VLOOKUP(D209,'Stock Master'!$A$2:$L$49,5,FALSE),"")</f>
        <v/>
      </c>
      <c r="G209" s="51" t="n"/>
      <c r="H209" s="51" t="n"/>
      <c r="I209" s="51">
        <f>IFERROR(G209+H209,0)</f>
        <v/>
      </c>
      <c r="J209" s="51">
        <f>IFERROR(F209*G209,0)</f>
        <v/>
      </c>
      <c r="K209" s="51">
        <f>IFERROR(F209*H209,0)</f>
        <v/>
      </c>
      <c r="L209" s="49" t="n"/>
      <c r="M209" s="49" t="n"/>
    </row>
    <row r="210">
      <c r="A210" s="52" t="n"/>
      <c r="B210" s="49" t="n"/>
      <c r="C210" s="49" t="n"/>
      <c r="D210" s="49" t="n"/>
      <c r="E210" s="49">
        <f>IFERROR(VLOOKUP(D210,'Stock Master'!$A$2:$L$49,2,FALSE),"")</f>
        <v/>
      </c>
      <c r="F210" s="51">
        <f>IFERROR(VLOOKUP(D210,'Stock Master'!$A$2:$L$49,5,FALSE),"")</f>
        <v/>
      </c>
      <c r="G210" s="51" t="n"/>
      <c r="H210" s="51" t="n"/>
      <c r="I210" s="51">
        <f>IFERROR(G210+H210,0)</f>
        <v/>
      </c>
      <c r="J210" s="51">
        <f>IFERROR(F210*G210,0)</f>
        <v/>
      </c>
      <c r="K210" s="51">
        <f>IFERROR(F210*H210,0)</f>
        <v/>
      </c>
      <c r="L210" s="49" t="n"/>
      <c r="M210" s="49" t="n"/>
    </row>
    <row r="211">
      <c r="A211" s="52" t="n"/>
      <c r="B211" s="49" t="n"/>
      <c r="C211" s="49" t="n"/>
      <c r="D211" s="49" t="n"/>
      <c r="E211" s="49">
        <f>IFERROR(VLOOKUP(D211,'Stock Master'!$A$2:$L$49,2,FALSE),"")</f>
        <v/>
      </c>
      <c r="F211" s="51">
        <f>IFERROR(VLOOKUP(D211,'Stock Master'!$A$2:$L$49,5,FALSE),"")</f>
        <v/>
      </c>
      <c r="G211" s="51" t="n"/>
      <c r="H211" s="51" t="n"/>
      <c r="I211" s="51">
        <f>IFERROR(G211+H211,0)</f>
        <v/>
      </c>
      <c r="J211" s="51">
        <f>IFERROR(F211*G211,0)</f>
        <v/>
      </c>
      <c r="K211" s="51">
        <f>IFERROR(F211*H211,0)</f>
        <v/>
      </c>
      <c r="L211" s="49" t="n"/>
      <c r="M211" s="49" t="n"/>
    </row>
    <row r="212">
      <c r="A212" s="52" t="n"/>
      <c r="B212" s="49" t="n"/>
      <c r="C212" s="49" t="n"/>
      <c r="D212" s="49" t="n"/>
      <c r="E212" s="49">
        <f>IFERROR(VLOOKUP(D212,'Stock Master'!$A$2:$L$49,2,FALSE),"")</f>
        <v/>
      </c>
      <c r="F212" s="51">
        <f>IFERROR(VLOOKUP(D212,'Stock Master'!$A$2:$L$49,5,FALSE),"")</f>
        <v/>
      </c>
      <c r="G212" s="51" t="n"/>
      <c r="H212" s="51" t="n"/>
      <c r="I212" s="51">
        <f>IFERROR(G212+H212,0)</f>
        <v/>
      </c>
      <c r="J212" s="51">
        <f>IFERROR(F212*G212,0)</f>
        <v/>
      </c>
      <c r="K212" s="51">
        <f>IFERROR(F212*H212,0)</f>
        <v/>
      </c>
      <c r="L212" s="49" t="n"/>
      <c r="M212" s="49" t="n"/>
    </row>
    <row r="213">
      <c r="A213" s="52" t="n"/>
      <c r="B213" s="49" t="n"/>
      <c r="C213" s="49" t="n"/>
      <c r="D213" s="49" t="n"/>
      <c r="E213" s="49">
        <f>IFERROR(VLOOKUP(D213,'Stock Master'!$A$2:$L$49,2,FALSE),"")</f>
        <v/>
      </c>
      <c r="F213" s="51">
        <f>IFERROR(VLOOKUP(D213,'Stock Master'!$A$2:$L$49,5,FALSE),"")</f>
        <v/>
      </c>
      <c r="G213" s="51" t="n"/>
      <c r="H213" s="51" t="n"/>
      <c r="I213" s="51">
        <f>IFERROR(G213+H213,0)</f>
        <v/>
      </c>
      <c r="J213" s="51">
        <f>IFERROR(F213*G213,0)</f>
        <v/>
      </c>
      <c r="K213" s="51">
        <f>IFERROR(F213*H213,0)</f>
        <v/>
      </c>
      <c r="L213" s="49" t="n"/>
      <c r="M213" s="49" t="n"/>
    </row>
    <row r="214">
      <c r="A214" s="52" t="n"/>
      <c r="B214" s="49" t="n"/>
      <c r="C214" s="49" t="n"/>
      <c r="D214" s="49" t="n"/>
      <c r="E214" s="49">
        <f>IFERROR(VLOOKUP(D214,'Stock Master'!$A$2:$L$49,2,FALSE),"")</f>
        <v/>
      </c>
      <c r="F214" s="51">
        <f>IFERROR(VLOOKUP(D214,'Stock Master'!$A$2:$L$49,5,FALSE),"")</f>
        <v/>
      </c>
      <c r="G214" s="51" t="n"/>
      <c r="H214" s="51" t="n"/>
      <c r="I214" s="51">
        <f>IFERROR(G214+H214,0)</f>
        <v/>
      </c>
      <c r="J214" s="51">
        <f>IFERROR(F214*G214,0)</f>
        <v/>
      </c>
      <c r="K214" s="51">
        <f>IFERROR(F214*H214,0)</f>
        <v/>
      </c>
      <c r="L214" s="49" t="n"/>
      <c r="M214" s="49" t="n"/>
    </row>
    <row r="215">
      <c r="A215" s="52" t="n"/>
      <c r="B215" s="49" t="n"/>
      <c r="C215" s="49" t="n"/>
      <c r="D215" s="49" t="n"/>
      <c r="E215" s="49">
        <f>IFERROR(VLOOKUP(D215,'Stock Master'!$A$2:$L$49,2,FALSE),"")</f>
        <v/>
      </c>
      <c r="F215" s="51">
        <f>IFERROR(VLOOKUP(D215,'Stock Master'!$A$2:$L$49,5,FALSE),"")</f>
        <v/>
      </c>
      <c r="G215" s="51" t="n"/>
      <c r="H215" s="51" t="n"/>
      <c r="I215" s="51">
        <f>IFERROR(G215+H215,0)</f>
        <v/>
      </c>
      <c r="J215" s="51">
        <f>IFERROR(F215*G215,0)</f>
        <v/>
      </c>
      <c r="K215" s="51">
        <f>IFERROR(F215*H215,0)</f>
        <v/>
      </c>
      <c r="L215" s="49" t="n"/>
      <c r="M215" s="49" t="n"/>
    </row>
    <row r="216">
      <c r="A216" s="52" t="n"/>
      <c r="B216" s="49" t="n"/>
      <c r="C216" s="49" t="n"/>
      <c r="D216" s="49" t="n"/>
      <c r="E216" s="49">
        <f>IFERROR(VLOOKUP(D216,'Stock Master'!$A$2:$L$49,2,FALSE),"")</f>
        <v/>
      </c>
      <c r="F216" s="51">
        <f>IFERROR(VLOOKUP(D216,'Stock Master'!$A$2:$L$49,5,FALSE),"")</f>
        <v/>
      </c>
      <c r="G216" s="51" t="n"/>
      <c r="H216" s="51" t="n"/>
      <c r="I216" s="51">
        <f>IFERROR(G216+H216,0)</f>
        <v/>
      </c>
      <c r="J216" s="51">
        <f>IFERROR(F216*G216,0)</f>
        <v/>
      </c>
      <c r="K216" s="51">
        <f>IFERROR(F216*H216,0)</f>
        <v/>
      </c>
      <c r="L216" s="49" t="n"/>
      <c r="M216" s="49" t="n"/>
    </row>
    <row r="217">
      <c r="A217" s="52" t="n"/>
      <c r="B217" s="49" t="n"/>
      <c r="C217" s="49" t="n"/>
      <c r="D217" s="49" t="n"/>
      <c r="E217" s="49">
        <f>IFERROR(VLOOKUP(D217,'Stock Master'!$A$2:$L$49,2,FALSE),"")</f>
        <v/>
      </c>
      <c r="F217" s="51">
        <f>IFERROR(VLOOKUP(D217,'Stock Master'!$A$2:$L$49,5,FALSE),"")</f>
        <v/>
      </c>
      <c r="G217" s="51" t="n"/>
      <c r="H217" s="51" t="n"/>
      <c r="I217" s="51">
        <f>IFERROR(G217+H217,0)</f>
        <v/>
      </c>
      <c r="J217" s="51">
        <f>IFERROR(F217*G217,0)</f>
        <v/>
      </c>
      <c r="K217" s="51">
        <f>IFERROR(F217*H217,0)</f>
        <v/>
      </c>
      <c r="L217" s="49" t="n"/>
      <c r="M217" s="49" t="n"/>
    </row>
    <row r="218">
      <c r="A218" s="52" t="n"/>
      <c r="B218" s="49" t="n"/>
      <c r="C218" s="49" t="n"/>
      <c r="D218" s="49" t="n"/>
      <c r="E218" s="49">
        <f>IFERROR(VLOOKUP(D218,'Stock Master'!$A$2:$L$49,2,FALSE),"")</f>
        <v/>
      </c>
      <c r="F218" s="51">
        <f>IFERROR(VLOOKUP(D218,'Stock Master'!$A$2:$L$49,5,FALSE),"")</f>
        <v/>
      </c>
      <c r="G218" s="51" t="n"/>
      <c r="H218" s="51" t="n"/>
      <c r="I218" s="51">
        <f>IFERROR(G218+H218,0)</f>
        <v/>
      </c>
      <c r="J218" s="51">
        <f>IFERROR(F218*G218,0)</f>
        <v/>
      </c>
      <c r="K218" s="51">
        <f>IFERROR(F218*H218,0)</f>
        <v/>
      </c>
      <c r="L218" s="49" t="n"/>
      <c r="M218" s="49" t="n"/>
    </row>
    <row r="219">
      <c r="A219" s="52" t="n"/>
      <c r="B219" s="49" t="n"/>
      <c r="C219" s="49" t="n"/>
      <c r="D219" s="49" t="n"/>
      <c r="E219" s="49">
        <f>IFERROR(VLOOKUP(D219,'Stock Master'!$A$2:$L$49,2,FALSE),"")</f>
        <v/>
      </c>
      <c r="F219" s="51">
        <f>IFERROR(VLOOKUP(D219,'Stock Master'!$A$2:$L$49,5,FALSE),"")</f>
        <v/>
      </c>
      <c r="G219" s="51" t="n"/>
      <c r="H219" s="51" t="n"/>
      <c r="I219" s="51">
        <f>IFERROR(G219+H219,0)</f>
        <v/>
      </c>
      <c r="J219" s="51">
        <f>IFERROR(F219*G219,0)</f>
        <v/>
      </c>
      <c r="K219" s="51">
        <f>IFERROR(F219*H219,0)</f>
        <v/>
      </c>
      <c r="L219" s="49" t="n"/>
      <c r="M219" s="49" t="n"/>
    </row>
    <row r="220">
      <c r="A220" s="52" t="n"/>
      <c r="B220" s="49" t="n"/>
      <c r="C220" s="49" t="n"/>
      <c r="D220" s="49" t="n"/>
      <c r="E220" s="49">
        <f>IFERROR(VLOOKUP(D220,'Stock Master'!$A$2:$L$49,2,FALSE),"")</f>
        <v/>
      </c>
      <c r="F220" s="51">
        <f>IFERROR(VLOOKUP(D220,'Stock Master'!$A$2:$L$49,5,FALSE),"")</f>
        <v/>
      </c>
      <c r="G220" s="51" t="n"/>
      <c r="H220" s="51" t="n"/>
      <c r="I220" s="51">
        <f>IFERROR(G220+H220,0)</f>
        <v/>
      </c>
      <c r="J220" s="51">
        <f>IFERROR(F220*G220,0)</f>
        <v/>
      </c>
      <c r="K220" s="51">
        <f>IFERROR(F220*H220,0)</f>
        <v/>
      </c>
      <c r="L220" s="49" t="n"/>
      <c r="M220" s="49" t="n"/>
    </row>
    <row r="221">
      <c r="A221" s="52" t="n"/>
      <c r="B221" s="49" t="n"/>
      <c r="C221" s="49" t="n"/>
      <c r="D221" s="49" t="n"/>
      <c r="E221" s="49">
        <f>IFERROR(VLOOKUP(D221,'Stock Master'!$A$2:$L$49,2,FALSE),"")</f>
        <v/>
      </c>
      <c r="F221" s="51">
        <f>IFERROR(VLOOKUP(D221,'Stock Master'!$A$2:$L$49,5,FALSE),"")</f>
        <v/>
      </c>
      <c r="G221" s="51" t="n"/>
      <c r="H221" s="51" t="n"/>
      <c r="I221" s="51">
        <f>IFERROR(G221+H221,0)</f>
        <v/>
      </c>
      <c r="J221" s="51">
        <f>IFERROR(F221*G221,0)</f>
        <v/>
      </c>
      <c r="K221" s="51">
        <f>IFERROR(F221*H221,0)</f>
        <v/>
      </c>
      <c r="L221" s="49" t="n"/>
      <c r="M221" s="49" t="n"/>
    </row>
    <row r="222">
      <c r="A222" s="52" t="n"/>
      <c r="B222" s="49" t="n"/>
      <c r="C222" s="49" t="n"/>
      <c r="D222" s="49" t="n"/>
      <c r="E222" s="49">
        <f>IFERROR(VLOOKUP(D222,'Stock Master'!$A$2:$L$49,2,FALSE),"")</f>
        <v/>
      </c>
      <c r="F222" s="51">
        <f>IFERROR(VLOOKUP(D222,'Stock Master'!$A$2:$L$49,5,FALSE),"")</f>
        <v/>
      </c>
      <c r="G222" s="51" t="n"/>
      <c r="H222" s="51" t="n"/>
      <c r="I222" s="51">
        <f>IFERROR(G222+H222,0)</f>
        <v/>
      </c>
      <c r="J222" s="51">
        <f>IFERROR(F222*G222,0)</f>
        <v/>
      </c>
      <c r="K222" s="51">
        <f>IFERROR(F222*H222,0)</f>
        <v/>
      </c>
      <c r="L222" s="49" t="n"/>
      <c r="M222" s="49" t="n"/>
    </row>
    <row r="223">
      <c r="A223" s="52" t="n"/>
      <c r="B223" s="49" t="n"/>
      <c r="C223" s="49" t="n"/>
      <c r="D223" s="49" t="n"/>
      <c r="E223" s="49">
        <f>IFERROR(VLOOKUP(D223,'Stock Master'!$A$2:$L$49,2,FALSE),"")</f>
        <v/>
      </c>
      <c r="F223" s="51">
        <f>IFERROR(VLOOKUP(D223,'Stock Master'!$A$2:$L$49,5,FALSE),"")</f>
        <v/>
      </c>
      <c r="G223" s="51" t="n"/>
      <c r="H223" s="51" t="n"/>
      <c r="I223" s="51">
        <f>IFERROR(G223+H223,0)</f>
        <v/>
      </c>
      <c r="J223" s="51">
        <f>IFERROR(F223*G223,0)</f>
        <v/>
      </c>
      <c r="K223" s="51">
        <f>IFERROR(F223*H223,0)</f>
        <v/>
      </c>
      <c r="L223" s="49" t="n"/>
      <c r="M223" s="49" t="n"/>
    </row>
    <row r="224">
      <c r="A224" s="52" t="n"/>
      <c r="B224" s="49" t="n"/>
      <c r="C224" s="49" t="n"/>
      <c r="D224" s="49" t="n"/>
      <c r="E224" s="49">
        <f>IFERROR(VLOOKUP(D224,'Stock Master'!$A$2:$L$49,2,FALSE),"")</f>
        <v/>
      </c>
      <c r="F224" s="51">
        <f>IFERROR(VLOOKUP(D224,'Stock Master'!$A$2:$L$49,5,FALSE),"")</f>
        <v/>
      </c>
      <c r="G224" s="51" t="n"/>
      <c r="H224" s="51" t="n"/>
      <c r="I224" s="51">
        <f>IFERROR(G224+H224,0)</f>
        <v/>
      </c>
      <c r="J224" s="51">
        <f>IFERROR(F224*G224,0)</f>
        <v/>
      </c>
      <c r="K224" s="51">
        <f>IFERROR(F224*H224,0)</f>
        <v/>
      </c>
      <c r="L224" s="49" t="n"/>
      <c r="M224" s="49" t="n"/>
    </row>
    <row r="225">
      <c r="A225" s="52" t="n"/>
      <c r="B225" s="49" t="n"/>
      <c r="C225" s="49" t="n"/>
      <c r="D225" s="49" t="n"/>
      <c r="E225" s="49">
        <f>IFERROR(VLOOKUP(D225,'Stock Master'!$A$2:$L$49,2,FALSE),"")</f>
        <v/>
      </c>
      <c r="F225" s="51">
        <f>IFERROR(VLOOKUP(D225,'Stock Master'!$A$2:$L$49,5,FALSE),"")</f>
        <v/>
      </c>
      <c r="G225" s="51" t="n"/>
      <c r="H225" s="51" t="n"/>
      <c r="I225" s="51">
        <f>IFERROR(G225+H225,0)</f>
        <v/>
      </c>
      <c r="J225" s="51">
        <f>IFERROR(F225*G225,0)</f>
        <v/>
      </c>
      <c r="K225" s="51">
        <f>IFERROR(F225*H225,0)</f>
        <v/>
      </c>
      <c r="L225" s="49" t="n"/>
      <c r="M225" s="49" t="n"/>
    </row>
    <row r="226">
      <c r="A226" s="52" t="n"/>
      <c r="B226" s="49" t="n"/>
      <c r="C226" s="49" t="n"/>
      <c r="D226" s="49" t="n"/>
      <c r="E226" s="49">
        <f>IFERROR(VLOOKUP(D226,'Stock Master'!$A$2:$L$49,2,FALSE),"")</f>
        <v/>
      </c>
      <c r="F226" s="51">
        <f>IFERROR(VLOOKUP(D226,'Stock Master'!$A$2:$L$49,5,FALSE),"")</f>
        <v/>
      </c>
      <c r="G226" s="51" t="n"/>
      <c r="H226" s="51" t="n"/>
      <c r="I226" s="51">
        <f>IFERROR(G226+H226,0)</f>
        <v/>
      </c>
      <c r="J226" s="51">
        <f>IFERROR(F226*G226,0)</f>
        <v/>
      </c>
      <c r="K226" s="51">
        <f>IFERROR(F226*H226,0)</f>
        <v/>
      </c>
      <c r="L226" s="49" t="n"/>
      <c r="M226" s="49" t="n"/>
    </row>
    <row r="227">
      <c r="A227" s="52" t="n"/>
      <c r="B227" s="49" t="n"/>
      <c r="C227" s="49" t="n"/>
      <c r="D227" s="49" t="n"/>
      <c r="E227" s="49">
        <f>IFERROR(VLOOKUP(D227,'Stock Master'!$A$2:$L$49,2,FALSE),"")</f>
        <v/>
      </c>
      <c r="F227" s="51">
        <f>IFERROR(VLOOKUP(D227,'Stock Master'!$A$2:$L$49,5,FALSE),"")</f>
        <v/>
      </c>
      <c r="G227" s="51" t="n"/>
      <c r="H227" s="51" t="n"/>
      <c r="I227" s="51">
        <f>IFERROR(G227+H227,0)</f>
        <v/>
      </c>
      <c r="J227" s="51">
        <f>IFERROR(F227*G227,0)</f>
        <v/>
      </c>
      <c r="K227" s="51">
        <f>IFERROR(F227*H227,0)</f>
        <v/>
      </c>
      <c r="L227" s="49" t="n"/>
      <c r="M227" s="49" t="n"/>
    </row>
    <row r="228">
      <c r="A228" s="52" t="n"/>
      <c r="B228" s="49" t="n"/>
      <c r="C228" s="49" t="n"/>
      <c r="D228" s="49" t="n"/>
      <c r="E228" s="49">
        <f>IFERROR(VLOOKUP(D228,'Stock Master'!$A$2:$L$49,2,FALSE),"")</f>
        <v/>
      </c>
      <c r="F228" s="51">
        <f>IFERROR(VLOOKUP(D228,'Stock Master'!$A$2:$L$49,5,FALSE),"")</f>
        <v/>
      </c>
      <c r="G228" s="51" t="n"/>
      <c r="H228" s="51" t="n"/>
      <c r="I228" s="51">
        <f>IFERROR(G228+H228,0)</f>
        <v/>
      </c>
      <c r="J228" s="51">
        <f>IFERROR(F228*G228,0)</f>
        <v/>
      </c>
      <c r="K228" s="51">
        <f>IFERROR(F228*H228,0)</f>
        <v/>
      </c>
      <c r="L228" s="49" t="n"/>
      <c r="M228" s="49" t="n"/>
    </row>
    <row r="229">
      <c r="A229" s="52" t="n"/>
      <c r="B229" s="49" t="n"/>
      <c r="C229" s="49" t="n"/>
      <c r="D229" s="49" t="n"/>
      <c r="E229" s="49">
        <f>IFERROR(VLOOKUP(D229,'Stock Master'!$A$2:$L$49,2,FALSE),"")</f>
        <v/>
      </c>
      <c r="F229" s="51">
        <f>IFERROR(VLOOKUP(D229,'Stock Master'!$A$2:$L$49,5,FALSE),"")</f>
        <v/>
      </c>
      <c r="G229" s="51" t="n"/>
      <c r="H229" s="51" t="n"/>
      <c r="I229" s="51">
        <f>IFERROR(G229+H229,0)</f>
        <v/>
      </c>
      <c r="J229" s="51">
        <f>IFERROR(F229*G229,0)</f>
        <v/>
      </c>
      <c r="K229" s="51">
        <f>IFERROR(F229*H229,0)</f>
        <v/>
      </c>
      <c r="L229" s="49" t="n"/>
      <c r="M229" s="49" t="n"/>
    </row>
    <row r="230">
      <c r="A230" s="52" t="n"/>
      <c r="B230" s="49" t="n"/>
      <c r="C230" s="49" t="n"/>
      <c r="D230" s="49" t="n"/>
      <c r="E230" s="49">
        <f>IFERROR(VLOOKUP(D230,'Stock Master'!$A$2:$L$49,2,FALSE),"")</f>
        <v/>
      </c>
      <c r="F230" s="51">
        <f>IFERROR(VLOOKUP(D230,'Stock Master'!$A$2:$L$49,5,FALSE),"")</f>
        <v/>
      </c>
      <c r="G230" s="51" t="n"/>
      <c r="H230" s="51" t="n"/>
      <c r="I230" s="51">
        <f>IFERROR(G230+H230,0)</f>
        <v/>
      </c>
      <c r="J230" s="51">
        <f>IFERROR(F230*G230,0)</f>
        <v/>
      </c>
      <c r="K230" s="51">
        <f>IFERROR(F230*H230,0)</f>
        <v/>
      </c>
      <c r="L230" s="49" t="n"/>
      <c r="M230" s="49" t="n"/>
    </row>
    <row r="231">
      <c r="A231" s="52" t="n"/>
      <c r="B231" s="49" t="n"/>
      <c r="C231" s="49" t="n"/>
      <c r="D231" s="49" t="n"/>
      <c r="E231" s="49">
        <f>IFERROR(VLOOKUP(D231,'Stock Master'!$A$2:$L$49,2,FALSE),"")</f>
        <v/>
      </c>
      <c r="F231" s="51">
        <f>IFERROR(VLOOKUP(D231,'Stock Master'!$A$2:$L$49,5,FALSE),"")</f>
        <v/>
      </c>
      <c r="G231" s="51" t="n"/>
      <c r="H231" s="51" t="n"/>
      <c r="I231" s="51">
        <f>IFERROR(G231+H231,0)</f>
        <v/>
      </c>
      <c r="J231" s="51">
        <f>IFERROR(F231*G231,0)</f>
        <v/>
      </c>
      <c r="K231" s="51">
        <f>IFERROR(F231*H231,0)</f>
        <v/>
      </c>
      <c r="L231" s="49" t="n"/>
      <c r="M231" s="49" t="n"/>
    </row>
    <row r="232">
      <c r="A232" s="52" t="n"/>
      <c r="B232" s="49" t="n"/>
      <c r="C232" s="49" t="n"/>
      <c r="D232" s="49" t="n"/>
      <c r="E232" s="49">
        <f>IFERROR(VLOOKUP(D232,'Stock Master'!$A$2:$L$49,2,FALSE),"")</f>
        <v/>
      </c>
      <c r="F232" s="51">
        <f>IFERROR(VLOOKUP(D232,'Stock Master'!$A$2:$L$49,5,FALSE),"")</f>
        <v/>
      </c>
      <c r="G232" s="51" t="n"/>
      <c r="H232" s="51" t="n"/>
      <c r="I232" s="51">
        <f>IFERROR(G232+H232,0)</f>
        <v/>
      </c>
      <c r="J232" s="51">
        <f>IFERROR(F232*G232,0)</f>
        <v/>
      </c>
      <c r="K232" s="51">
        <f>IFERROR(F232*H232,0)</f>
        <v/>
      </c>
      <c r="L232" s="49" t="n"/>
      <c r="M232" s="49" t="n"/>
    </row>
    <row r="233">
      <c r="A233" s="52" t="n"/>
      <c r="B233" s="49" t="n"/>
      <c r="C233" s="49" t="n"/>
      <c r="D233" s="49" t="n"/>
      <c r="E233" s="49">
        <f>IFERROR(VLOOKUP(D233,'Stock Master'!$A$2:$L$49,2,FALSE),"")</f>
        <v/>
      </c>
      <c r="F233" s="51">
        <f>IFERROR(VLOOKUP(D233,'Stock Master'!$A$2:$L$49,5,FALSE),"")</f>
        <v/>
      </c>
      <c r="G233" s="51" t="n"/>
      <c r="H233" s="51" t="n"/>
      <c r="I233" s="51">
        <f>IFERROR(G233+H233,0)</f>
        <v/>
      </c>
      <c r="J233" s="51">
        <f>IFERROR(F233*G233,0)</f>
        <v/>
      </c>
      <c r="K233" s="51">
        <f>IFERROR(F233*H233,0)</f>
        <v/>
      </c>
      <c r="L233" s="49" t="n"/>
      <c r="M233" s="49" t="n"/>
    </row>
    <row r="234">
      <c r="A234" s="52" t="n"/>
      <c r="B234" s="49" t="n"/>
      <c r="C234" s="49" t="n"/>
      <c r="D234" s="49" t="n"/>
      <c r="E234" s="49">
        <f>IFERROR(VLOOKUP(D234,'Stock Master'!$A$2:$L$49,2,FALSE),"")</f>
        <v/>
      </c>
      <c r="F234" s="51">
        <f>IFERROR(VLOOKUP(D234,'Stock Master'!$A$2:$L$49,5,FALSE),"")</f>
        <v/>
      </c>
      <c r="G234" s="51" t="n"/>
      <c r="H234" s="51" t="n"/>
      <c r="I234" s="51">
        <f>IFERROR(G234+H234,0)</f>
        <v/>
      </c>
      <c r="J234" s="51">
        <f>IFERROR(F234*G234,0)</f>
        <v/>
      </c>
      <c r="K234" s="51">
        <f>IFERROR(F234*H234,0)</f>
        <v/>
      </c>
      <c r="L234" s="49" t="n"/>
      <c r="M234" s="49" t="n"/>
    </row>
    <row r="235">
      <c r="A235" s="52" t="n"/>
      <c r="B235" s="49" t="n"/>
      <c r="C235" s="49" t="n"/>
      <c r="D235" s="49" t="n"/>
      <c r="E235" s="49">
        <f>IFERROR(VLOOKUP(D235,'Stock Master'!$A$2:$L$49,2,FALSE),"")</f>
        <v/>
      </c>
      <c r="F235" s="51">
        <f>IFERROR(VLOOKUP(D235,'Stock Master'!$A$2:$L$49,5,FALSE),"")</f>
        <v/>
      </c>
      <c r="G235" s="51" t="n"/>
      <c r="H235" s="51" t="n"/>
      <c r="I235" s="51">
        <f>IFERROR(G235+H235,0)</f>
        <v/>
      </c>
      <c r="J235" s="51">
        <f>IFERROR(F235*G235,0)</f>
        <v/>
      </c>
      <c r="K235" s="51">
        <f>IFERROR(F235*H235,0)</f>
        <v/>
      </c>
      <c r="L235" s="49" t="n"/>
      <c r="M235" s="49" t="n"/>
    </row>
    <row r="236">
      <c r="A236" s="52" t="n"/>
      <c r="B236" s="49" t="n"/>
      <c r="C236" s="49" t="n"/>
      <c r="D236" s="49" t="n"/>
      <c r="E236" s="49">
        <f>IFERROR(VLOOKUP(D236,'Stock Master'!$A$2:$L$49,2,FALSE),"")</f>
        <v/>
      </c>
      <c r="F236" s="51">
        <f>IFERROR(VLOOKUP(D236,'Stock Master'!$A$2:$L$49,5,FALSE),"")</f>
        <v/>
      </c>
      <c r="G236" s="51" t="n"/>
      <c r="H236" s="51" t="n"/>
      <c r="I236" s="51">
        <f>IFERROR(G236+H236,0)</f>
        <v/>
      </c>
      <c r="J236" s="51">
        <f>IFERROR(F236*G236,0)</f>
        <v/>
      </c>
      <c r="K236" s="51">
        <f>IFERROR(F236*H236,0)</f>
        <v/>
      </c>
      <c r="L236" s="49" t="n"/>
      <c r="M236" s="49" t="n"/>
    </row>
    <row r="237">
      <c r="A237" s="52" t="n"/>
      <c r="B237" s="49" t="n"/>
      <c r="C237" s="49" t="n"/>
      <c r="D237" s="49" t="n"/>
      <c r="E237" s="49">
        <f>IFERROR(VLOOKUP(D237,'Stock Master'!$A$2:$L$49,2,FALSE),"")</f>
        <v/>
      </c>
      <c r="F237" s="51">
        <f>IFERROR(VLOOKUP(D237,'Stock Master'!$A$2:$L$49,5,FALSE),"")</f>
        <v/>
      </c>
      <c r="G237" s="51" t="n"/>
      <c r="H237" s="51" t="n"/>
      <c r="I237" s="51">
        <f>IFERROR(G237+H237,0)</f>
        <v/>
      </c>
      <c r="J237" s="51">
        <f>IFERROR(F237*G237,0)</f>
        <v/>
      </c>
      <c r="K237" s="51">
        <f>IFERROR(F237*H237,0)</f>
        <v/>
      </c>
      <c r="L237" s="49" t="n"/>
      <c r="M237" s="49" t="n"/>
    </row>
    <row r="238">
      <c r="A238" s="52" t="n"/>
      <c r="B238" s="49" t="n"/>
      <c r="C238" s="49" t="n"/>
      <c r="D238" s="49" t="n"/>
      <c r="E238" s="49">
        <f>IFERROR(VLOOKUP(D238,'Stock Master'!$A$2:$L$49,2,FALSE),"")</f>
        <v/>
      </c>
      <c r="F238" s="51">
        <f>IFERROR(VLOOKUP(D238,'Stock Master'!$A$2:$L$49,5,FALSE),"")</f>
        <v/>
      </c>
      <c r="G238" s="51" t="n"/>
      <c r="H238" s="51" t="n"/>
      <c r="I238" s="51">
        <f>IFERROR(G238+H238,0)</f>
        <v/>
      </c>
      <c r="J238" s="51">
        <f>IFERROR(F238*G238,0)</f>
        <v/>
      </c>
      <c r="K238" s="51">
        <f>IFERROR(F238*H238,0)</f>
        <v/>
      </c>
      <c r="L238" s="49" t="n"/>
      <c r="M238" s="49" t="n"/>
    </row>
    <row r="239">
      <c r="A239" s="52" t="n"/>
      <c r="B239" s="49" t="n"/>
      <c r="C239" s="49" t="n"/>
      <c r="D239" s="49" t="n"/>
      <c r="E239" s="49">
        <f>IFERROR(VLOOKUP(D239,'Stock Master'!$A$2:$L$49,2,FALSE),"")</f>
        <v/>
      </c>
      <c r="F239" s="51">
        <f>IFERROR(VLOOKUP(D239,'Stock Master'!$A$2:$L$49,5,FALSE),"")</f>
        <v/>
      </c>
      <c r="G239" s="51" t="n"/>
      <c r="H239" s="51" t="n"/>
      <c r="I239" s="51">
        <f>IFERROR(G239+H239,0)</f>
        <v/>
      </c>
      <c r="J239" s="51">
        <f>IFERROR(F239*G239,0)</f>
        <v/>
      </c>
      <c r="K239" s="51">
        <f>IFERROR(F239*H239,0)</f>
        <v/>
      </c>
      <c r="L239" s="49" t="n"/>
      <c r="M239" s="49" t="n"/>
    </row>
    <row r="240">
      <c r="A240" s="52" t="n"/>
      <c r="B240" s="49" t="n"/>
      <c r="C240" s="49" t="n"/>
      <c r="D240" s="49" t="n"/>
      <c r="E240" s="49">
        <f>IFERROR(VLOOKUP(D240,'Stock Master'!$A$2:$L$49,2,FALSE),"")</f>
        <v/>
      </c>
      <c r="F240" s="51">
        <f>IFERROR(VLOOKUP(D240,'Stock Master'!$A$2:$L$49,5,FALSE),"")</f>
        <v/>
      </c>
      <c r="G240" s="51" t="n"/>
      <c r="H240" s="51" t="n"/>
      <c r="I240" s="51">
        <f>IFERROR(G240+H240,0)</f>
        <v/>
      </c>
      <c r="J240" s="51">
        <f>IFERROR(F240*G240,0)</f>
        <v/>
      </c>
      <c r="K240" s="51">
        <f>IFERROR(F240*H240,0)</f>
        <v/>
      </c>
      <c r="L240" s="49" t="n"/>
      <c r="M240" s="49" t="n"/>
    </row>
    <row r="241">
      <c r="A241" s="52" t="n"/>
      <c r="B241" s="49" t="n"/>
      <c r="C241" s="49" t="n"/>
      <c r="D241" s="49" t="n"/>
      <c r="E241" s="49">
        <f>IFERROR(VLOOKUP(D241,'Stock Master'!$A$2:$L$49,2,FALSE),"")</f>
        <v/>
      </c>
      <c r="F241" s="51">
        <f>IFERROR(VLOOKUP(D241,'Stock Master'!$A$2:$L$49,5,FALSE),"")</f>
        <v/>
      </c>
      <c r="G241" s="51" t="n"/>
      <c r="H241" s="51" t="n"/>
      <c r="I241" s="51">
        <f>IFERROR(G241+H241,0)</f>
        <v/>
      </c>
      <c r="J241" s="51">
        <f>IFERROR(F241*G241,0)</f>
        <v/>
      </c>
      <c r="K241" s="51">
        <f>IFERROR(F241*H241,0)</f>
        <v/>
      </c>
      <c r="L241" s="49" t="n"/>
      <c r="M241" s="49" t="n"/>
    </row>
    <row r="242">
      <c r="A242" s="52" t="n"/>
      <c r="B242" s="49" t="n"/>
      <c r="C242" s="49" t="n"/>
      <c r="D242" s="49" t="n"/>
      <c r="E242" s="49">
        <f>IFERROR(VLOOKUP(D242,'Stock Master'!$A$2:$L$49,2,FALSE),"")</f>
        <v/>
      </c>
      <c r="F242" s="51">
        <f>IFERROR(VLOOKUP(D242,'Stock Master'!$A$2:$L$49,5,FALSE),"")</f>
        <v/>
      </c>
      <c r="G242" s="51" t="n"/>
      <c r="H242" s="51" t="n"/>
      <c r="I242" s="51">
        <f>IFERROR(G242+H242,0)</f>
        <v/>
      </c>
      <c r="J242" s="51">
        <f>IFERROR(F242*G242,0)</f>
        <v/>
      </c>
      <c r="K242" s="51">
        <f>IFERROR(F242*H242,0)</f>
        <v/>
      </c>
      <c r="L242" s="49" t="n"/>
      <c r="M242" s="49" t="n"/>
    </row>
    <row r="243">
      <c r="A243" s="52" t="n"/>
      <c r="B243" s="49" t="n"/>
      <c r="C243" s="49" t="n"/>
      <c r="D243" s="49" t="n"/>
      <c r="E243" s="49">
        <f>IFERROR(VLOOKUP(D243,'Stock Master'!$A$2:$L$49,2,FALSE),"")</f>
        <v/>
      </c>
      <c r="F243" s="51">
        <f>IFERROR(VLOOKUP(D243,'Stock Master'!$A$2:$L$49,5,FALSE),"")</f>
        <v/>
      </c>
      <c r="G243" s="51" t="n"/>
      <c r="H243" s="51" t="n"/>
      <c r="I243" s="51">
        <f>IFERROR(G243+H243,0)</f>
        <v/>
      </c>
      <c r="J243" s="51">
        <f>IFERROR(F243*G243,0)</f>
        <v/>
      </c>
      <c r="K243" s="51">
        <f>IFERROR(F243*H243,0)</f>
        <v/>
      </c>
      <c r="L243" s="49" t="n"/>
      <c r="M243" s="49" t="n"/>
    </row>
    <row r="244">
      <c r="A244" s="52" t="n"/>
      <c r="B244" s="49" t="n"/>
      <c r="C244" s="49" t="n"/>
      <c r="D244" s="49" t="n"/>
      <c r="E244" s="49">
        <f>IFERROR(VLOOKUP(D244,'Stock Master'!$A$2:$L$49,2,FALSE),"")</f>
        <v/>
      </c>
      <c r="F244" s="51">
        <f>IFERROR(VLOOKUP(D244,'Stock Master'!$A$2:$L$49,5,FALSE),"")</f>
        <v/>
      </c>
      <c r="G244" s="51" t="n"/>
      <c r="H244" s="51" t="n"/>
      <c r="I244" s="51">
        <f>IFERROR(G244+H244,0)</f>
        <v/>
      </c>
      <c r="J244" s="51">
        <f>IFERROR(F244*G244,0)</f>
        <v/>
      </c>
      <c r="K244" s="51">
        <f>IFERROR(F244*H244,0)</f>
        <v/>
      </c>
      <c r="L244" s="49" t="n"/>
      <c r="M244" s="49" t="n"/>
    </row>
    <row r="245">
      <c r="A245" s="52" t="n"/>
      <c r="B245" s="49" t="n"/>
      <c r="C245" s="49" t="n"/>
      <c r="D245" s="49" t="n"/>
      <c r="E245" s="49">
        <f>IFERROR(VLOOKUP(D245,'Stock Master'!$A$2:$L$49,2,FALSE),"")</f>
        <v/>
      </c>
      <c r="F245" s="51">
        <f>IFERROR(VLOOKUP(D245,'Stock Master'!$A$2:$L$49,5,FALSE),"")</f>
        <v/>
      </c>
      <c r="G245" s="51" t="n"/>
      <c r="H245" s="51" t="n"/>
      <c r="I245" s="51">
        <f>IFERROR(G245+H245,0)</f>
        <v/>
      </c>
      <c r="J245" s="51">
        <f>IFERROR(F245*G245,0)</f>
        <v/>
      </c>
      <c r="K245" s="51">
        <f>IFERROR(F245*H245,0)</f>
        <v/>
      </c>
      <c r="L245" s="49" t="n"/>
      <c r="M245" s="49" t="n"/>
    </row>
    <row r="246">
      <c r="A246" s="52" t="n"/>
      <c r="B246" s="49" t="n"/>
      <c r="C246" s="49" t="n"/>
      <c r="D246" s="49" t="n"/>
      <c r="E246" s="49">
        <f>IFERROR(VLOOKUP(D246,'Stock Master'!$A$2:$L$49,2,FALSE),"")</f>
        <v/>
      </c>
      <c r="F246" s="51">
        <f>IFERROR(VLOOKUP(D246,'Stock Master'!$A$2:$L$49,5,FALSE),"")</f>
        <v/>
      </c>
      <c r="G246" s="51" t="n"/>
      <c r="H246" s="51" t="n"/>
      <c r="I246" s="51">
        <f>IFERROR(G246+H246,0)</f>
        <v/>
      </c>
      <c r="J246" s="51">
        <f>IFERROR(F246*G246,0)</f>
        <v/>
      </c>
      <c r="K246" s="51">
        <f>IFERROR(F246*H246,0)</f>
        <v/>
      </c>
      <c r="L246" s="49" t="n"/>
      <c r="M246" s="49" t="n"/>
    </row>
    <row r="247">
      <c r="A247" s="52" t="n"/>
      <c r="B247" s="49" t="n"/>
      <c r="C247" s="49" t="n"/>
      <c r="D247" s="49" t="n"/>
      <c r="E247" s="49">
        <f>IFERROR(VLOOKUP(D247,'Stock Master'!$A$2:$L$49,2,FALSE),"")</f>
        <v/>
      </c>
      <c r="F247" s="51">
        <f>IFERROR(VLOOKUP(D247,'Stock Master'!$A$2:$L$49,5,FALSE),"")</f>
        <v/>
      </c>
      <c r="G247" s="51" t="n"/>
      <c r="H247" s="51" t="n"/>
      <c r="I247" s="51">
        <f>IFERROR(G247+H247,0)</f>
        <v/>
      </c>
      <c r="J247" s="51">
        <f>IFERROR(F247*G247,0)</f>
        <v/>
      </c>
      <c r="K247" s="51">
        <f>IFERROR(F247*H247,0)</f>
        <v/>
      </c>
      <c r="L247" s="49" t="n"/>
      <c r="M247" s="49" t="n"/>
    </row>
    <row r="248">
      <c r="A248" s="52" t="n"/>
      <c r="B248" s="49" t="n"/>
      <c r="C248" s="49" t="n"/>
      <c r="D248" s="49" t="n"/>
      <c r="E248" s="49">
        <f>IFERROR(VLOOKUP(D248,'Stock Master'!$A$2:$L$49,2,FALSE),"")</f>
        <v/>
      </c>
      <c r="F248" s="51">
        <f>IFERROR(VLOOKUP(D248,'Stock Master'!$A$2:$L$49,5,FALSE),"")</f>
        <v/>
      </c>
      <c r="G248" s="51" t="n"/>
      <c r="H248" s="51" t="n"/>
      <c r="I248" s="51">
        <f>IFERROR(G248+H248,0)</f>
        <v/>
      </c>
      <c r="J248" s="51">
        <f>IFERROR(F248*G248,0)</f>
        <v/>
      </c>
      <c r="K248" s="51">
        <f>IFERROR(F248*H248,0)</f>
        <v/>
      </c>
      <c r="L248" s="49" t="n"/>
      <c r="M248" s="49" t="n"/>
    </row>
    <row r="249">
      <c r="A249" s="52" t="n"/>
      <c r="B249" s="49" t="n"/>
      <c r="C249" s="49" t="n"/>
      <c r="D249" s="49" t="n"/>
      <c r="E249" s="49">
        <f>IFERROR(VLOOKUP(D249,'Stock Master'!$A$2:$L$49,2,FALSE),"")</f>
        <v/>
      </c>
      <c r="F249" s="51">
        <f>IFERROR(VLOOKUP(D249,'Stock Master'!$A$2:$L$49,5,FALSE),"")</f>
        <v/>
      </c>
      <c r="G249" s="51" t="n"/>
      <c r="H249" s="51" t="n"/>
      <c r="I249" s="51">
        <f>IFERROR(G249+H249,0)</f>
        <v/>
      </c>
      <c r="J249" s="51">
        <f>IFERROR(F249*G249,0)</f>
        <v/>
      </c>
      <c r="K249" s="51">
        <f>IFERROR(F249*H249,0)</f>
        <v/>
      </c>
      <c r="L249" s="49" t="n"/>
      <c r="M249" s="49" t="n"/>
    </row>
    <row r="250">
      <c r="A250" s="52" t="n"/>
      <c r="B250" s="49" t="n"/>
      <c r="C250" s="49" t="n"/>
      <c r="D250" s="49" t="n"/>
      <c r="E250" s="49">
        <f>IFERROR(VLOOKUP(D250,'Stock Master'!$A$2:$L$49,2,FALSE),"")</f>
        <v/>
      </c>
      <c r="F250" s="51">
        <f>IFERROR(VLOOKUP(D250,'Stock Master'!$A$2:$L$49,5,FALSE),"")</f>
        <v/>
      </c>
      <c r="G250" s="51" t="n"/>
      <c r="H250" s="51" t="n"/>
      <c r="I250" s="51">
        <f>IFERROR(G250+H250,0)</f>
        <v/>
      </c>
      <c r="J250" s="51">
        <f>IFERROR(F250*G250,0)</f>
        <v/>
      </c>
      <c r="K250" s="51">
        <f>IFERROR(F250*H250,0)</f>
        <v/>
      </c>
      <c r="L250" s="49" t="n"/>
      <c r="M250" s="49" t="n"/>
    </row>
    <row r="251">
      <c r="A251" s="52" t="n"/>
      <c r="B251" s="49" t="n"/>
      <c r="C251" s="49" t="n"/>
      <c r="D251" s="49" t="n"/>
      <c r="E251" s="49">
        <f>IFERROR(VLOOKUP(D251,'Stock Master'!$A$2:$L$49,2,FALSE),"")</f>
        <v/>
      </c>
      <c r="F251" s="51">
        <f>IFERROR(VLOOKUP(D251,'Stock Master'!$A$2:$L$49,5,FALSE),"")</f>
        <v/>
      </c>
      <c r="G251" s="51" t="n"/>
      <c r="H251" s="51" t="n"/>
      <c r="I251" s="51">
        <f>IFERROR(G251+H251,0)</f>
        <v/>
      </c>
      <c r="J251" s="51">
        <f>IFERROR(F251*G251,0)</f>
        <v/>
      </c>
      <c r="K251" s="51">
        <f>IFERROR(F251*H251,0)</f>
        <v/>
      </c>
      <c r="L251" s="49" t="n"/>
      <c r="M251" s="49" t="n"/>
    </row>
    <row r="252">
      <c r="A252" s="52" t="n"/>
      <c r="B252" s="49" t="n"/>
      <c r="C252" s="49" t="n"/>
      <c r="D252" s="49" t="n"/>
      <c r="E252" s="49">
        <f>IFERROR(VLOOKUP(D252,'Stock Master'!$A$2:$L$49,2,FALSE),"")</f>
        <v/>
      </c>
      <c r="F252" s="51">
        <f>IFERROR(VLOOKUP(D252,'Stock Master'!$A$2:$L$49,5,FALSE),"")</f>
        <v/>
      </c>
      <c r="G252" s="51" t="n"/>
      <c r="H252" s="51" t="n"/>
      <c r="I252" s="51">
        <f>IFERROR(G252+H252,0)</f>
        <v/>
      </c>
      <c r="J252" s="51">
        <f>IFERROR(F252*G252,0)</f>
        <v/>
      </c>
      <c r="K252" s="51">
        <f>IFERROR(F252*H252,0)</f>
        <v/>
      </c>
      <c r="L252" s="49" t="n"/>
      <c r="M252" s="49" t="n"/>
    </row>
    <row r="253">
      <c r="A253" s="52" t="n"/>
      <c r="B253" s="49" t="n"/>
      <c r="C253" s="49" t="n"/>
      <c r="D253" s="49" t="n"/>
      <c r="E253" s="49">
        <f>IFERROR(VLOOKUP(D253,'Stock Master'!$A$2:$L$49,2,FALSE),"")</f>
        <v/>
      </c>
      <c r="F253" s="51">
        <f>IFERROR(VLOOKUP(D253,'Stock Master'!$A$2:$L$49,5,FALSE),"")</f>
        <v/>
      </c>
      <c r="G253" s="51" t="n"/>
      <c r="H253" s="51" t="n"/>
      <c r="I253" s="51">
        <f>IFERROR(G253+H253,0)</f>
        <v/>
      </c>
      <c r="J253" s="51">
        <f>IFERROR(F253*G253,0)</f>
        <v/>
      </c>
      <c r="K253" s="51">
        <f>IFERROR(F253*H253,0)</f>
        <v/>
      </c>
      <c r="L253" s="49" t="n"/>
      <c r="M253" s="49" t="n"/>
    </row>
    <row r="254">
      <c r="A254" s="52" t="n"/>
      <c r="B254" s="49" t="n"/>
      <c r="C254" s="49" t="n"/>
      <c r="D254" s="49" t="n"/>
      <c r="E254" s="49">
        <f>IFERROR(VLOOKUP(D254,'Stock Master'!$A$2:$L$49,2,FALSE),"")</f>
        <v/>
      </c>
      <c r="F254" s="51">
        <f>IFERROR(VLOOKUP(D254,'Stock Master'!$A$2:$L$49,5,FALSE),"")</f>
        <v/>
      </c>
      <c r="G254" s="51" t="n"/>
      <c r="H254" s="51" t="n"/>
      <c r="I254" s="51">
        <f>IFERROR(G254+H254,0)</f>
        <v/>
      </c>
      <c r="J254" s="51">
        <f>IFERROR(F254*G254,0)</f>
        <v/>
      </c>
      <c r="K254" s="51">
        <f>IFERROR(F254*H254,0)</f>
        <v/>
      </c>
      <c r="L254" s="49" t="n"/>
      <c r="M254" s="49" t="n"/>
    </row>
    <row r="255">
      <c r="A255" s="52" t="n"/>
      <c r="B255" s="49" t="n"/>
      <c r="C255" s="49" t="n"/>
      <c r="D255" s="49" t="n"/>
      <c r="E255" s="49">
        <f>IFERROR(VLOOKUP(D255,'Stock Master'!$A$2:$L$49,2,FALSE),"")</f>
        <v/>
      </c>
      <c r="F255" s="51">
        <f>IFERROR(VLOOKUP(D255,'Stock Master'!$A$2:$L$49,5,FALSE),"")</f>
        <v/>
      </c>
      <c r="G255" s="51" t="n"/>
      <c r="H255" s="51" t="n"/>
      <c r="I255" s="51">
        <f>IFERROR(G255+H255,0)</f>
        <v/>
      </c>
      <c r="J255" s="51">
        <f>IFERROR(F255*G255,0)</f>
        <v/>
      </c>
      <c r="K255" s="51">
        <f>IFERROR(F255*H255,0)</f>
        <v/>
      </c>
      <c r="L255" s="49" t="n"/>
      <c r="M255" s="49" t="n"/>
    </row>
    <row r="256">
      <c r="A256" s="52" t="n"/>
      <c r="B256" s="49" t="n"/>
      <c r="C256" s="49" t="n"/>
      <c r="D256" s="49" t="n"/>
      <c r="E256" s="49">
        <f>IFERROR(VLOOKUP(D256,'Stock Master'!$A$2:$L$49,2,FALSE),"")</f>
        <v/>
      </c>
      <c r="F256" s="51">
        <f>IFERROR(VLOOKUP(D256,'Stock Master'!$A$2:$L$49,5,FALSE),"")</f>
        <v/>
      </c>
      <c r="G256" s="51" t="n"/>
      <c r="H256" s="51" t="n"/>
      <c r="I256" s="51">
        <f>IFERROR(G256+H256,0)</f>
        <v/>
      </c>
      <c r="J256" s="51">
        <f>IFERROR(F256*G256,0)</f>
        <v/>
      </c>
      <c r="K256" s="51">
        <f>IFERROR(F256*H256,0)</f>
        <v/>
      </c>
      <c r="L256" s="49" t="n"/>
      <c r="M256" s="49" t="n"/>
    </row>
    <row r="257">
      <c r="A257" s="52" t="n"/>
      <c r="B257" s="49" t="n"/>
      <c r="C257" s="49" t="n"/>
      <c r="D257" s="49" t="n"/>
      <c r="E257" s="49">
        <f>IFERROR(VLOOKUP(D257,'Stock Master'!$A$2:$L$49,2,FALSE),"")</f>
        <v/>
      </c>
      <c r="F257" s="51">
        <f>IFERROR(VLOOKUP(D257,'Stock Master'!$A$2:$L$49,5,FALSE),"")</f>
        <v/>
      </c>
      <c r="G257" s="51" t="n"/>
      <c r="H257" s="51" t="n"/>
      <c r="I257" s="51">
        <f>IFERROR(G257+H257,0)</f>
        <v/>
      </c>
      <c r="J257" s="51">
        <f>IFERROR(F257*G257,0)</f>
        <v/>
      </c>
      <c r="K257" s="51">
        <f>IFERROR(F257*H257,0)</f>
        <v/>
      </c>
      <c r="L257" s="49" t="n"/>
      <c r="M257" s="49" t="n"/>
    </row>
    <row r="258">
      <c r="A258" s="52" t="n"/>
      <c r="B258" s="49" t="n"/>
      <c r="C258" s="49" t="n"/>
      <c r="D258" s="49" t="n"/>
      <c r="E258" s="49">
        <f>IFERROR(VLOOKUP(D258,'Stock Master'!$A$2:$L$49,2,FALSE),"")</f>
        <v/>
      </c>
      <c r="F258" s="51">
        <f>IFERROR(VLOOKUP(D258,'Stock Master'!$A$2:$L$49,5,FALSE),"")</f>
        <v/>
      </c>
      <c r="G258" s="51" t="n"/>
      <c r="H258" s="51" t="n"/>
      <c r="I258" s="51">
        <f>IFERROR(G258+H258,0)</f>
        <v/>
      </c>
      <c r="J258" s="51">
        <f>IFERROR(F258*G258,0)</f>
        <v/>
      </c>
      <c r="K258" s="51">
        <f>IFERROR(F258*H258,0)</f>
        <v/>
      </c>
      <c r="L258" s="49" t="n"/>
      <c r="M258" s="49" t="n"/>
    </row>
    <row r="259">
      <c r="A259" s="52" t="n"/>
      <c r="B259" s="49" t="n"/>
      <c r="C259" s="49" t="n"/>
      <c r="D259" s="49" t="n"/>
      <c r="E259" s="49">
        <f>IFERROR(VLOOKUP(D259,'Stock Master'!$A$2:$L$49,2,FALSE),"")</f>
        <v/>
      </c>
      <c r="F259" s="51">
        <f>IFERROR(VLOOKUP(D259,'Stock Master'!$A$2:$L$49,5,FALSE),"")</f>
        <v/>
      </c>
      <c r="G259" s="51" t="n"/>
      <c r="H259" s="51" t="n"/>
      <c r="I259" s="51">
        <f>IFERROR(G259+H259,0)</f>
        <v/>
      </c>
      <c r="J259" s="51">
        <f>IFERROR(F259*G259,0)</f>
        <v/>
      </c>
      <c r="K259" s="51">
        <f>IFERROR(F259*H259,0)</f>
        <v/>
      </c>
      <c r="L259" s="49" t="n"/>
      <c r="M259" s="49" t="n"/>
    </row>
    <row r="260">
      <c r="A260" s="52" t="n"/>
      <c r="B260" s="49" t="n"/>
      <c r="C260" s="49" t="n"/>
      <c r="D260" s="49" t="n"/>
      <c r="E260" s="49">
        <f>IFERROR(VLOOKUP(D260,'Stock Master'!$A$2:$L$49,2,FALSE),"")</f>
        <v/>
      </c>
      <c r="F260" s="51">
        <f>IFERROR(VLOOKUP(D260,'Stock Master'!$A$2:$L$49,5,FALSE),"")</f>
        <v/>
      </c>
      <c r="G260" s="51" t="n"/>
      <c r="H260" s="51" t="n"/>
      <c r="I260" s="51">
        <f>IFERROR(G260+H260,0)</f>
        <v/>
      </c>
      <c r="J260" s="51">
        <f>IFERROR(F260*G260,0)</f>
        <v/>
      </c>
      <c r="K260" s="51">
        <f>IFERROR(F260*H260,0)</f>
        <v/>
      </c>
      <c r="L260" s="49" t="n"/>
      <c r="M260" s="49" t="n"/>
    </row>
    <row r="261">
      <c r="A261" s="52" t="n"/>
      <c r="B261" s="49" t="n"/>
      <c r="C261" s="49" t="n"/>
      <c r="D261" s="49" t="n"/>
      <c r="E261" s="49">
        <f>IFERROR(VLOOKUP(D261,'Stock Master'!$A$2:$L$49,2,FALSE),"")</f>
        <v/>
      </c>
      <c r="F261" s="51">
        <f>IFERROR(VLOOKUP(D261,'Stock Master'!$A$2:$L$49,5,FALSE),"")</f>
        <v/>
      </c>
      <c r="G261" s="51" t="n"/>
      <c r="H261" s="51" t="n"/>
      <c r="I261" s="51">
        <f>IFERROR(G261+H261,0)</f>
        <v/>
      </c>
      <c r="J261" s="51">
        <f>IFERROR(F261*G261,0)</f>
        <v/>
      </c>
      <c r="K261" s="51">
        <f>IFERROR(F261*H261,0)</f>
        <v/>
      </c>
      <c r="L261" s="49" t="n"/>
      <c r="M261" s="49" t="n"/>
    </row>
    <row r="262">
      <c r="A262" s="52" t="n"/>
      <c r="B262" s="49" t="n"/>
      <c r="C262" s="49" t="n"/>
      <c r="D262" s="49" t="n"/>
      <c r="E262" s="49">
        <f>IFERROR(VLOOKUP(D262,'Stock Master'!$A$2:$L$49,2,FALSE),"")</f>
        <v/>
      </c>
      <c r="F262" s="51">
        <f>IFERROR(VLOOKUP(D262,'Stock Master'!$A$2:$L$49,5,FALSE),"")</f>
        <v/>
      </c>
      <c r="G262" s="51" t="n"/>
      <c r="H262" s="51" t="n"/>
      <c r="I262" s="51">
        <f>IFERROR(G262+H262,0)</f>
        <v/>
      </c>
      <c r="J262" s="51">
        <f>IFERROR(F262*G262,0)</f>
        <v/>
      </c>
      <c r="K262" s="51">
        <f>IFERROR(F262*H262,0)</f>
        <v/>
      </c>
      <c r="L262" s="49" t="n"/>
      <c r="M262" s="49" t="n"/>
    </row>
    <row r="263">
      <c r="A263" s="52" t="n"/>
      <c r="B263" s="49" t="n"/>
      <c r="C263" s="49" t="n"/>
      <c r="D263" s="49" t="n"/>
      <c r="E263" s="49">
        <f>IFERROR(VLOOKUP(D263,'Stock Master'!$A$2:$L$49,2,FALSE),"")</f>
        <v/>
      </c>
      <c r="F263" s="51">
        <f>IFERROR(VLOOKUP(D263,'Stock Master'!$A$2:$L$49,5,FALSE),"")</f>
        <v/>
      </c>
      <c r="G263" s="51" t="n"/>
      <c r="H263" s="51" t="n"/>
      <c r="I263" s="51">
        <f>IFERROR(G263+H263,0)</f>
        <v/>
      </c>
      <c r="J263" s="51">
        <f>IFERROR(F263*G263,0)</f>
        <v/>
      </c>
      <c r="K263" s="51">
        <f>IFERROR(F263*H263,0)</f>
        <v/>
      </c>
      <c r="L263" s="49" t="n"/>
      <c r="M263" s="49" t="n"/>
    </row>
    <row r="264">
      <c r="A264" s="52" t="n"/>
      <c r="B264" s="49" t="n"/>
      <c r="C264" s="49" t="n"/>
      <c r="D264" s="49" t="n"/>
      <c r="E264" s="49">
        <f>IFERROR(VLOOKUP(D264,'Stock Master'!$A$2:$L$49,2,FALSE),"")</f>
        <v/>
      </c>
      <c r="F264" s="51">
        <f>IFERROR(VLOOKUP(D264,'Stock Master'!$A$2:$L$49,5,FALSE),"")</f>
        <v/>
      </c>
      <c r="G264" s="51" t="n"/>
      <c r="H264" s="51" t="n"/>
      <c r="I264" s="51">
        <f>IFERROR(G264+H264,0)</f>
        <v/>
      </c>
      <c r="J264" s="51">
        <f>IFERROR(F264*G264,0)</f>
        <v/>
      </c>
      <c r="K264" s="51">
        <f>IFERROR(F264*H264,0)</f>
        <v/>
      </c>
      <c r="L264" s="49" t="n"/>
      <c r="M264" s="49" t="n"/>
    </row>
    <row r="265">
      <c r="A265" s="52" t="n"/>
      <c r="B265" s="49" t="n"/>
      <c r="C265" s="49" t="n"/>
      <c r="D265" s="49" t="n"/>
      <c r="E265" s="49">
        <f>IFERROR(VLOOKUP(D265,'Stock Master'!$A$2:$L$49,2,FALSE),"")</f>
        <v/>
      </c>
      <c r="F265" s="51">
        <f>IFERROR(VLOOKUP(D265,'Stock Master'!$A$2:$L$49,5,FALSE),"")</f>
        <v/>
      </c>
      <c r="G265" s="51" t="n"/>
      <c r="H265" s="51" t="n"/>
      <c r="I265" s="51">
        <f>IFERROR(G265+H265,0)</f>
        <v/>
      </c>
      <c r="J265" s="51">
        <f>IFERROR(F265*G265,0)</f>
        <v/>
      </c>
      <c r="K265" s="51">
        <f>IFERROR(F265*H265,0)</f>
        <v/>
      </c>
      <c r="L265" s="49" t="n"/>
      <c r="M265" s="49" t="n"/>
    </row>
    <row r="266">
      <c r="A266" s="52" t="n"/>
      <c r="B266" s="49" t="n"/>
      <c r="C266" s="49" t="n"/>
      <c r="D266" s="49" t="n"/>
      <c r="E266" s="49">
        <f>IFERROR(VLOOKUP(D266,'Stock Master'!$A$2:$L$49,2,FALSE),"")</f>
        <v/>
      </c>
      <c r="F266" s="51">
        <f>IFERROR(VLOOKUP(D266,'Stock Master'!$A$2:$L$49,5,FALSE),"")</f>
        <v/>
      </c>
      <c r="G266" s="51" t="n"/>
      <c r="H266" s="51" t="n"/>
      <c r="I266" s="51">
        <f>IFERROR(G266+H266,0)</f>
        <v/>
      </c>
      <c r="J266" s="51">
        <f>IFERROR(F266*G266,0)</f>
        <v/>
      </c>
      <c r="K266" s="51">
        <f>IFERROR(F266*H266,0)</f>
        <v/>
      </c>
      <c r="L266" s="49" t="n"/>
      <c r="M266" s="49" t="n"/>
    </row>
    <row r="267">
      <c r="A267" s="52" t="n"/>
      <c r="B267" s="49" t="n"/>
      <c r="C267" s="49" t="n"/>
      <c r="D267" s="49" t="n"/>
      <c r="E267" s="49">
        <f>IFERROR(VLOOKUP(D267,'Stock Master'!$A$2:$L$49,2,FALSE),"")</f>
        <v/>
      </c>
      <c r="F267" s="51">
        <f>IFERROR(VLOOKUP(D267,'Stock Master'!$A$2:$L$49,5,FALSE),"")</f>
        <v/>
      </c>
      <c r="G267" s="51" t="n"/>
      <c r="H267" s="51" t="n"/>
      <c r="I267" s="51">
        <f>IFERROR(G267+H267,0)</f>
        <v/>
      </c>
      <c r="J267" s="51">
        <f>IFERROR(F267*G267,0)</f>
        <v/>
      </c>
      <c r="K267" s="51">
        <f>IFERROR(F267*H267,0)</f>
        <v/>
      </c>
      <c r="L267" s="49" t="n"/>
      <c r="M267" s="49" t="n"/>
    </row>
    <row r="268">
      <c r="A268" s="52" t="n"/>
      <c r="B268" s="49" t="n"/>
      <c r="C268" s="49" t="n"/>
      <c r="D268" s="49" t="n"/>
      <c r="E268" s="49">
        <f>IFERROR(VLOOKUP(D268,'Stock Master'!$A$2:$L$49,2,FALSE),"")</f>
        <v/>
      </c>
      <c r="F268" s="51">
        <f>IFERROR(VLOOKUP(D268,'Stock Master'!$A$2:$L$49,5,FALSE),"")</f>
        <v/>
      </c>
      <c r="G268" s="51" t="n"/>
      <c r="H268" s="51" t="n"/>
      <c r="I268" s="51">
        <f>IFERROR(G268+H268,0)</f>
        <v/>
      </c>
      <c r="J268" s="51">
        <f>IFERROR(F268*G268,0)</f>
        <v/>
      </c>
      <c r="K268" s="51">
        <f>IFERROR(F268*H268,0)</f>
        <v/>
      </c>
      <c r="L268" s="49" t="n"/>
      <c r="M268" s="49" t="n"/>
    </row>
    <row r="269">
      <c r="A269" s="52" t="n"/>
      <c r="B269" s="49" t="n"/>
      <c r="C269" s="49" t="n"/>
      <c r="D269" s="49" t="n"/>
      <c r="E269" s="49">
        <f>IFERROR(VLOOKUP(D269,'Stock Master'!$A$2:$L$49,2,FALSE),"")</f>
        <v/>
      </c>
      <c r="F269" s="51">
        <f>IFERROR(VLOOKUP(D269,'Stock Master'!$A$2:$L$49,5,FALSE),"")</f>
        <v/>
      </c>
      <c r="G269" s="51" t="n"/>
      <c r="H269" s="51" t="n"/>
      <c r="I269" s="51">
        <f>IFERROR(G269+H269,0)</f>
        <v/>
      </c>
      <c r="J269" s="51">
        <f>IFERROR(F269*G269,0)</f>
        <v/>
      </c>
      <c r="K269" s="51">
        <f>IFERROR(F269*H269,0)</f>
        <v/>
      </c>
      <c r="L269" s="49" t="n"/>
      <c r="M269" s="49" t="n"/>
    </row>
    <row r="270">
      <c r="A270" s="52" t="n"/>
      <c r="B270" s="49" t="n"/>
      <c r="C270" s="49" t="n"/>
      <c r="D270" s="49" t="n"/>
      <c r="E270" s="49">
        <f>IFERROR(VLOOKUP(D270,'Stock Master'!$A$2:$L$49,2,FALSE),"")</f>
        <v/>
      </c>
      <c r="F270" s="51">
        <f>IFERROR(VLOOKUP(D270,'Stock Master'!$A$2:$L$49,5,FALSE),"")</f>
        <v/>
      </c>
      <c r="G270" s="51" t="n"/>
      <c r="H270" s="51" t="n"/>
      <c r="I270" s="51">
        <f>IFERROR(G270+H270,0)</f>
        <v/>
      </c>
      <c r="J270" s="51">
        <f>IFERROR(F270*G270,0)</f>
        <v/>
      </c>
      <c r="K270" s="51">
        <f>IFERROR(F270*H270,0)</f>
        <v/>
      </c>
      <c r="L270" s="49" t="n"/>
      <c r="M270" s="49" t="n"/>
    </row>
    <row r="271">
      <c r="A271" s="52" t="n"/>
      <c r="B271" s="49" t="n"/>
      <c r="C271" s="49" t="n"/>
      <c r="D271" s="49" t="n"/>
      <c r="E271" s="49">
        <f>IFERROR(VLOOKUP(D271,'Stock Master'!$A$2:$L$49,2,FALSE),"")</f>
        <v/>
      </c>
      <c r="F271" s="51">
        <f>IFERROR(VLOOKUP(D271,'Stock Master'!$A$2:$L$49,5,FALSE),"")</f>
        <v/>
      </c>
      <c r="G271" s="51" t="n"/>
      <c r="H271" s="51" t="n"/>
      <c r="I271" s="51">
        <f>IFERROR(G271+H271,0)</f>
        <v/>
      </c>
      <c r="J271" s="51">
        <f>IFERROR(F271*G271,0)</f>
        <v/>
      </c>
      <c r="K271" s="51">
        <f>IFERROR(F271*H271,0)</f>
        <v/>
      </c>
      <c r="L271" s="49" t="n"/>
      <c r="M271" s="49" t="n"/>
    </row>
    <row r="272">
      <c r="A272" s="52" t="n"/>
      <c r="B272" s="49" t="n"/>
      <c r="C272" s="49" t="n"/>
      <c r="D272" s="49" t="n"/>
      <c r="E272" s="49">
        <f>IFERROR(VLOOKUP(D272,'Stock Master'!$A$2:$L$49,2,FALSE),"")</f>
        <v/>
      </c>
      <c r="F272" s="51">
        <f>IFERROR(VLOOKUP(D272,'Stock Master'!$A$2:$L$49,5,FALSE),"")</f>
        <v/>
      </c>
      <c r="G272" s="51" t="n"/>
      <c r="H272" s="51" t="n"/>
      <c r="I272" s="51">
        <f>IFERROR(G272+H272,0)</f>
        <v/>
      </c>
      <c r="J272" s="51">
        <f>IFERROR(F272*G272,0)</f>
        <v/>
      </c>
      <c r="K272" s="51">
        <f>IFERROR(F272*H272,0)</f>
        <v/>
      </c>
      <c r="L272" s="49" t="n"/>
      <c r="M272" s="49" t="n"/>
    </row>
    <row r="273">
      <c r="A273" s="52" t="n"/>
      <c r="B273" s="49" t="n"/>
      <c r="C273" s="49" t="n"/>
      <c r="D273" s="49" t="n"/>
      <c r="E273" s="49">
        <f>IFERROR(VLOOKUP(D273,'Stock Master'!$A$2:$L$49,2,FALSE),"")</f>
        <v/>
      </c>
      <c r="F273" s="51">
        <f>IFERROR(VLOOKUP(D273,'Stock Master'!$A$2:$L$49,5,FALSE),"")</f>
        <v/>
      </c>
      <c r="G273" s="51" t="n"/>
      <c r="H273" s="51" t="n"/>
      <c r="I273" s="51">
        <f>IFERROR(G273+H273,0)</f>
        <v/>
      </c>
      <c r="J273" s="51">
        <f>IFERROR(F273*G273,0)</f>
        <v/>
      </c>
      <c r="K273" s="51">
        <f>IFERROR(F273*H273,0)</f>
        <v/>
      </c>
      <c r="L273" s="49" t="n"/>
      <c r="M273" s="49" t="n"/>
    </row>
    <row r="274">
      <c r="A274" s="52" t="n"/>
      <c r="B274" s="49" t="n"/>
      <c r="C274" s="49" t="n"/>
      <c r="D274" s="49" t="n"/>
      <c r="E274" s="49">
        <f>IFERROR(VLOOKUP(D274,'Stock Master'!$A$2:$L$49,2,FALSE),"")</f>
        <v/>
      </c>
      <c r="F274" s="51">
        <f>IFERROR(VLOOKUP(D274,'Stock Master'!$A$2:$L$49,5,FALSE),"")</f>
        <v/>
      </c>
      <c r="G274" s="51" t="n"/>
      <c r="H274" s="51" t="n"/>
      <c r="I274" s="51">
        <f>IFERROR(G274+H274,0)</f>
        <v/>
      </c>
      <c r="J274" s="51">
        <f>IFERROR(F274*G274,0)</f>
        <v/>
      </c>
      <c r="K274" s="51">
        <f>IFERROR(F274*H274,0)</f>
        <v/>
      </c>
      <c r="L274" s="49" t="n"/>
      <c r="M274" s="49" t="n"/>
    </row>
    <row r="275">
      <c r="A275" s="52" t="n"/>
      <c r="B275" s="49" t="n"/>
      <c r="C275" s="49" t="n"/>
      <c r="D275" s="49" t="n"/>
      <c r="E275" s="49">
        <f>IFERROR(VLOOKUP(D275,'Stock Master'!$A$2:$L$49,2,FALSE),"")</f>
        <v/>
      </c>
      <c r="F275" s="51">
        <f>IFERROR(VLOOKUP(D275,'Stock Master'!$A$2:$L$49,5,FALSE),"")</f>
        <v/>
      </c>
      <c r="G275" s="51" t="n"/>
      <c r="H275" s="51" t="n"/>
      <c r="I275" s="51">
        <f>IFERROR(G275+H275,0)</f>
        <v/>
      </c>
      <c r="J275" s="51">
        <f>IFERROR(F275*G275,0)</f>
        <v/>
      </c>
      <c r="K275" s="51">
        <f>IFERROR(F275*H275,0)</f>
        <v/>
      </c>
      <c r="L275" s="49" t="n"/>
      <c r="M275" s="49" t="n"/>
    </row>
    <row r="276">
      <c r="A276" s="52" t="n"/>
      <c r="B276" s="49" t="n"/>
      <c r="C276" s="49" t="n"/>
      <c r="D276" s="49" t="n"/>
      <c r="E276" s="49">
        <f>IFERROR(VLOOKUP(D276,'Stock Master'!$A$2:$L$49,2,FALSE),"")</f>
        <v/>
      </c>
      <c r="F276" s="51">
        <f>IFERROR(VLOOKUP(D276,'Stock Master'!$A$2:$L$49,5,FALSE),"")</f>
        <v/>
      </c>
      <c r="G276" s="51" t="n"/>
      <c r="H276" s="51" t="n"/>
      <c r="I276" s="51">
        <f>IFERROR(G276+H276,0)</f>
        <v/>
      </c>
      <c r="J276" s="51">
        <f>IFERROR(F276*G276,0)</f>
        <v/>
      </c>
      <c r="K276" s="51">
        <f>IFERROR(F276*H276,0)</f>
        <v/>
      </c>
      <c r="L276" s="49" t="n"/>
      <c r="M276" s="49" t="n"/>
    </row>
    <row r="277">
      <c r="A277" s="52" t="n"/>
      <c r="B277" s="49" t="n"/>
      <c r="C277" s="49" t="n"/>
      <c r="D277" s="49" t="n"/>
      <c r="E277" s="49">
        <f>IFERROR(VLOOKUP(D277,'Stock Master'!$A$2:$L$49,2,FALSE),"")</f>
        <v/>
      </c>
      <c r="F277" s="51">
        <f>IFERROR(VLOOKUP(D277,'Stock Master'!$A$2:$L$49,5,FALSE),"")</f>
        <v/>
      </c>
      <c r="G277" s="51" t="n"/>
      <c r="H277" s="51" t="n"/>
      <c r="I277" s="51">
        <f>IFERROR(G277+H277,0)</f>
        <v/>
      </c>
      <c r="J277" s="51">
        <f>IFERROR(F277*G277,0)</f>
        <v/>
      </c>
      <c r="K277" s="51">
        <f>IFERROR(F277*H277,0)</f>
        <v/>
      </c>
      <c r="L277" s="49" t="n"/>
      <c r="M277" s="49" t="n"/>
    </row>
    <row r="278">
      <c r="A278" s="52" t="n"/>
      <c r="B278" s="49" t="n"/>
      <c r="C278" s="49" t="n"/>
      <c r="D278" s="49" t="n"/>
      <c r="E278" s="49">
        <f>IFERROR(VLOOKUP(D278,'Stock Master'!$A$2:$L$49,2,FALSE),"")</f>
        <v/>
      </c>
      <c r="F278" s="51">
        <f>IFERROR(VLOOKUP(D278,'Stock Master'!$A$2:$L$49,5,FALSE),"")</f>
        <v/>
      </c>
      <c r="G278" s="51" t="n"/>
      <c r="H278" s="51" t="n"/>
      <c r="I278" s="51">
        <f>IFERROR(G278+H278,0)</f>
        <v/>
      </c>
      <c r="J278" s="51">
        <f>IFERROR(F278*G278,0)</f>
        <v/>
      </c>
      <c r="K278" s="51">
        <f>IFERROR(F278*H278,0)</f>
        <v/>
      </c>
      <c r="L278" s="49" t="n"/>
      <c r="M278" s="49" t="n"/>
    </row>
    <row r="279">
      <c r="A279" s="52" t="n"/>
      <c r="B279" s="49" t="n"/>
      <c r="C279" s="49" t="n"/>
      <c r="D279" s="49" t="n"/>
      <c r="E279" s="49">
        <f>IFERROR(VLOOKUP(D279,'Stock Master'!$A$2:$L$49,2,FALSE),"")</f>
        <v/>
      </c>
      <c r="F279" s="51">
        <f>IFERROR(VLOOKUP(D279,'Stock Master'!$A$2:$L$49,5,FALSE),"")</f>
        <v/>
      </c>
      <c r="G279" s="51" t="n"/>
      <c r="H279" s="51" t="n"/>
      <c r="I279" s="51">
        <f>IFERROR(G279+H279,0)</f>
        <v/>
      </c>
      <c r="J279" s="51">
        <f>IFERROR(F279*G279,0)</f>
        <v/>
      </c>
      <c r="K279" s="51">
        <f>IFERROR(F279*H279,0)</f>
        <v/>
      </c>
      <c r="L279" s="49" t="n"/>
      <c r="M279" s="49" t="n"/>
    </row>
    <row r="280">
      <c r="A280" s="52" t="n"/>
      <c r="B280" s="49" t="n"/>
      <c r="C280" s="49" t="n"/>
      <c r="D280" s="49" t="n"/>
      <c r="E280" s="49">
        <f>IFERROR(VLOOKUP(D280,'Stock Master'!$A$2:$L$49,2,FALSE),"")</f>
        <v/>
      </c>
      <c r="F280" s="51">
        <f>IFERROR(VLOOKUP(D280,'Stock Master'!$A$2:$L$49,5,FALSE),"")</f>
        <v/>
      </c>
      <c r="G280" s="51" t="n"/>
      <c r="H280" s="51" t="n"/>
      <c r="I280" s="51">
        <f>IFERROR(G280+H280,0)</f>
        <v/>
      </c>
      <c r="J280" s="51">
        <f>IFERROR(F280*G280,0)</f>
        <v/>
      </c>
      <c r="K280" s="51">
        <f>IFERROR(F280*H280,0)</f>
        <v/>
      </c>
      <c r="L280" s="49" t="n"/>
      <c r="M280" s="49" t="n"/>
    </row>
    <row r="281">
      <c r="A281" s="52" t="n"/>
      <c r="B281" s="49" t="n"/>
      <c r="C281" s="49" t="n"/>
      <c r="D281" s="49" t="n"/>
      <c r="E281" s="49">
        <f>IFERROR(VLOOKUP(D281,'Stock Master'!$A$2:$L$49,2,FALSE),"")</f>
        <v/>
      </c>
      <c r="F281" s="51">
        <f>IFERROR(VLOOKUP(D281,'Stock Master'!$A$2:$L$49,5,FALSE),"")</f>
        <v/>
      </c>
      <c r="G281" s="51" t="n"/>
      <c r="H281" s="51" t="n"/>
      <c r="I281" s="51">
        <f>IFERROR(G281+H281,0)</f>
        <v/>
      </c>
      <c r="J281" s="51">
        <f>IFERROR(F281*G281,0)</f>
        <v/>
      </c>
      <c r="K281" s="51">
        <f>IFERROR(F281*H281,0)</f>
        <v/>
      </c>
      <c r="L281" s="49" t="n"/>
      <c r="M281" s="49" t="n"/>
    </row>
    <row r="282">
      <c r="A282" s="52" t="n"/>
      <c r="B282" s="49" t="n"/>
      <c r="C282" s="49" t="n"/>
      <c r="D282" s="49" t="n"/>
      <c r="E282" s="49">
        <f>IFERROR(VLOOKUP(D282,'Stock Master'!$A$2:$L$49,2,FALSE),"")</f>
        <v/>
      </c>
      <c r="F282" s="51">
        <f>IFERROR(VLOOKUP(D282,'Stock Master'!$A$2:$L$49,5,FALSE),"")</f>
        <v/>
      </c>
      <c r="G282" s="51" t="n"/>
      <c r="H282" s="51" t="n"/>
      <c r="I282" s="51">
        <f>IFERROR(G282+H282,0)</f>
        <v/>
      </c>
      <c r="J282" s="51">
        <f>IFERROR(F282*G282,0)</f>
        <v/>
      </c>
      <c r="K282" s="51">
        <f>IFERROR(F282*H282,0)</f>
        <v/>
      </c>
      <c r="L282" s="49" t="n"/>
      <c r="M282" s="49" t="n"/>
    </row>
    <row r="283">
      <c r="A283" s="52" t="n"/>
      <c r="B283" s="49" t="n"/>
      <c r="C283" s="49" t="n"/>
      <c r="D283" s="49" t="n"/>
      <c r="E283" s="49">
        <f>IFERROR(VLOOKUP(D283,'Stock Master'!$A$2:$L$49,2,FALSE),"")</f>
        <v/>
      </c>
      <c r="F283" s="51">
        <f>IFERROR(VLOOKUP(D283,'Stock Master'!$A$2:$L$49,5,FALSE),"")</f>
        <v/>
      </c>
      <c r="G283" s="51" t="n"/>
      <c r="H283" s="51" t="n"/>
      <c r="I283" s="51">
        <f>IFERROR(G283+H283,0)</f>
        <v/>
      </c>
      <c r="J283" s="51">
        <f>IFERROR(F283*G283,0)</f>
        <v/>
      </c>
      <c r="K283" s="51">
        <f>IFERROR(F283*H283,0)</f>
        <v/>
      </c>
      <c r="L283" s="49" t="n"/>
      <c r="M283" s="49" t="n"/>
    </row>
    <row r="284">
      <c r="A284" s="52" t="n"/>
      <c r="B284" s="49" t="n"/>
      <c r="C284" s="49" t="n"/>
      <c r="D284" s="49" t="n"/>
      <c r="E284" s="49">
        <f>IFERROR(VLOOKUP(D284,'Stock Master'!$A$2:$L$49,2,FALSE),"")</f>
        <v/>
      </c>
      <c r="F284" s="51">
        <f>IFERROR(VLOOKUP(D284,'Stock Master'!$A$2:$L$49,5,FALSE),"")</f>
        <v/>
      </c>
      <c r="G284" s="51" t="n"/>
      <c r="H284" s="51" t="n"/>
      <c r="I284" s="51">
        <f>IFERROR(G284+H284,0)</f>
        <v/>
      </c>
      <c r="J284" s="51">
        <f>IFERROR(F284*G284,0)</f>
        <v/>
      </c>
      <c r="K284" s="51">
        <f>IFERROR(F284*H284,0)</f>
        <v/>
      </c>
      <c r="L284" s="49" t="n"/>
      <c r="M284" s="49" t="n"/>
    </row>
    <row r="285">
      <c r="A285" s="52" t="n"/>
      <c r="B285" s="49" t="n"/>
      <c r="C285" s="49" t="n"/>
      <c r="D285" s="49" t="n"/>
      <c r="E285" s="49">
        <f>IFERROR(VLOOKUP(D285,'Stock Master'!$A$2:$L$49,2,FALSE),"")</f>
        <v/>
      </c>
      <c r="F285" s="51">
        <f>IFERROR(VLOOKUP(D285,'Stock Master'!$A$2:$L$49,5,FALSE),"")</f>
        <v/>
      </c>
      <c r="G285" s="51" t="n"/>
      <c r="H285" s="51" t="n"/>
      <c r="I285" s="51">
        <f>IFERROR(G285+H285,0)</f>
        <v/>
      </c>
      <c r="J285" s="51">
        <f>IFERROR(F285*G285,0)</f>
        <v/>
      </c>
      <c r="K285" s="51">
        <f>IFERROR(F285*H285,0)</f>
        <v/>
      </c>
      <c r="L285" s="49" t="n"/>
      <c r="M285" s="49" t="n"/>
    </row>
    <row r="286">
      <c r="A286" s="52" t="n"/>
      <c r="B286" s="49" t="n"/>
      <c r="C286" s="49" t="n"/>
      <c r="D286" s="49" t="n"/>
      <c r="E286" s="49">
        <f>IFERROR(VLOOKUP(D286,'Stock Master'!$A$2:$L$49,2,FALSE),"")</f>
        <v/>
      </c>
      <c r="F286" s="51">
        <f>IFERROR(VLOOKUP(D286,'Stock Master'!$A$2:$L$49,5,FALSE),"")</f>
        <v/>
      </c>
      <c r="G286" s="51" t="n"/>
      <c r="H286" s="51" t="n"/>
      <c r="I286" s="51">
        <f>IFERROR(G286+H286,0)</f>
        <v/>
      </c>
      <c r="J286" s="51">
        <f>IFERROR(F286*G286,0)</f>
        <v/>
      </c>
      <c r="K286" s="51">
        <f>IFERROR(F286*H286,0)</f>
        <v/>
      </c>
      <c r="L286" s="49" t="n"/>
      <c r="M286" s="49" t="n"/>
    </row>
    <row r="287">
      <c r="A287" s="52" t="n"/>
      <c r="B287" s="49" t="n"/>
      <c r="C287" s="49" t="n"/>
      <c r="D287" s="49" t="n"/>
      <c r="E287" s="49">
        <f>IFERROR(VLOOKUP(D287,'Stock Master'!$A$2:$L$49,2,FALSE),"")</f>
        <v/>
      </c>
      <c r="F287" s="51">
        <f>IFERROR(VLOOKUP(D287,'Stock Master'!$A$2:$L$49,5,FALSE),"")</f>
        <v/>
      </c>
      <c r="G287" s="51" t="n"/>
      <c r="H287" s="51" t="n"/>
      <c r="I287" s="51">
        <f>IFERROR(G287+H287,0)</f>
        <v/>
      </c>
      <c r="J287" s="51">
        <f>IFERROR(F287*G287,0)</f>
        <v/>
      </c>
      <c r="K287" s="51">
        <f>IFERROR(F287*H287,0)</f>
        <v/>
      </c>
      <c r="L287" s="49" t="n"/>
      <c r="M287" s="49" t="n"/>
    </row>
    <row r="288">
      <c r="A288" s="52" t="n"/>
      <c r="B288" s="49" t="n"/>
      <c r="C288" s="49" t="n"/>
      <c r="D288" s="49" t="n"/>
      <c r="E288" s="49">
        <f>IFERROR(VLOOKUP(D288,'Stock Master'!$A$2:$L$49,2,FALSE),"")</f>
        <v/>
      </c>
      <c r="F288" s="51">
        <f>IFERROR(VLOOKUP(D288,'Stock Master'!$A$2:$L$49,5,FALSE),"")</f>
        <v/>
      </c>
      <c r="G288" s="51" t="n"/>
      <c r="H288" s="51" t="n"/>
      <c r="I288" s="51">
        <f>IFERROR(G288+H288,0)</f>
        <v/>
      </c>
      <c r="J288" s="51">
        <f>IFERROR(F288*G288,0)</f>
        <v/>
      </c>
      <c r="K288" s="51">
        <f>IFERROR(F288*H288,0)</f>
        <v/>
      </c>
      <c r="L288" s="49" t="n"/>
      <c r="M288" s="49" t="n"/>
    </row>
    <row r="289">
      <c r="A289" s="52" t="n"/>
      <c r="B289" s="49" t="n"/>
      <c r="C289" s="49" t="n"/>
      <c r="D289" s="49" t="n"/>
      <c r="E289" s="49">
        <f>IFERROR(VLOOKUP(D289,'Stock Master'!$A$2:$L$49,2,FALSE),"")</f>
        <v/>
      </c>
      <c r="F289" s="51">
        <f>IFERROR(VLOOKUP(D289,'Stock Master'!$A$2:$L$49,5,FALSE),"")</f>
        <v/>
      </c>
      <c r="G289" s="51" t="n"/>
      <c r="H289" s="51" t="n"/>
      <c r="I289" s="51">
        <f>IFERROR(G289+H289,0)</f>
        <v/>
      </c>
      <c r="J289" s="51">
        <f>IFERROR(F289*G289,0)</f>
        <v/>
      </c>
      <c r="K289" s="51">
        <f>IFERROR(F289*H289,0)</f>
        <v/>
      </c>
      <c r="L289" s="49" t="n"/>
      <c r="M289" s="49" t="n"/>
    </row>
    <row r="290">
      <c r="A290" s="52" t="n"/>
      <c r="B290" s="49" t="n"/>
      <c r="C290" s="49" t="n"/>
      <c r="D290" s="49" t="n"/>
      <c r="E290" s="49">
        <f>IFERROR(VLOOKUP(D290,'Stock Master'!$A$2:$L$49,2,FALSE),"")</f>
        <v/>
      </c>
      <c r="F290" s="51">
        <f>IFERROR(VLOOKUP(D290,'Stock Master'!$A$2:$L$49,5,FALSE),"")</f>
        <v/>
      </c>
      <c r="G290" s="51" t="n"/>
      <c r="H290" s="51" t="n"/>
      <c r="I290" s="51">
        <f>IFERROR(G290+H290,0)</f>
        <v/>
      </c>
      <c r="J290" s="51">
        <f>IFERROR(F290*G290,0)</f>
        <v/>
      </c>
      <c r="K290" s="51">
        <f>IFERROR(F290*H290,0)</f>
        <v/>
      </c>
      <c r="L290" s="49" t="n"/>
      <c r="M290" s="49" t="n"/>
    </row>
    <row r="291">
      <c r="A291" s="52" t="n"/>
      <c r="B291" s="49" t="n"/>
      <c r="C291" s="49" t="n"/>
      <c r="D291" s="49" t="n"/>
      <c r="E291" s="49">
        <f>IFERROR(VLOOKUP(D291,'Stock Master'!$A$2:$L$49,2,FALSE),"")</f>
        <v/>
      </c>
      <c r="F291" s="51">
        <f>IFERROR(VLOOKUP(D291,'Stock Master'!$A$2:$L$49,5,FALSE),"")</f>
        <v/>
      </c>
      <c r="G291" s="51" t="n"/>
      <c r="H291" s="51" t="n"/>
      <c r="I291" s="51">
        <f>IFERROR(G291+H291,0)</f>
        <v/>
      </c>
      <c r="J291" s="51">
        <f>IFERROR(F291*G291,0)</f>
        <v/>
      </c>
      <c r="K291" s="51">
        <f>IFERROR(F291*H291,0)</f>
        <v/>
      </c>
      <c r="L291" s="49" t="n"/>
      <c r="M291" s="49" t="n"/>
    </row>
    <row r="292">
      <c r="A292" s="52" t="n"/>
      <c r="B292" s="49" t="n"/>
      <c r="C292" s="49" t="n"/>
      <c r="D292" s="49" t="n"/>
      <c r="E292" s="49">
        <f>IFERROR(VLOOKUP(D292,'Stock Master'!$A$2:$L$49,2,FALSE),"")</f>
        <v/>
      </c>
      <c r="F292" s="51">
        <f>IFERROR(VLOOKUP(D292,'Stock Master'!$A$2:$L$49,5,FALSE),"")</f>
        <v/>
      </c>
      <c r="G292" s="51" t="n"/>
      <c r="H292" s="51" t="n"/>
      <c r="I292" s="51">
        <f>IFERROR(G292+H292,0)</f>
        <v/>
      </c>
      <c r="J292" s="51">
        <f>IFERROR(F292*G292,0)</f>
        <v/>
      </c>
      <c r="K292" s="51">
        <f>IFERROR(F292*H292,0)</f>
        <v/>
      </c>
      <c r="L292" s="49" t="n"/>
      <c r="M292" s="49" t="n"/>
    </row>
    <row r="293">
      <c r="A293" s="52" t="n"/>
      <c r="B293" s="49" t="n"/>
      <c r="C293" s="49" t="n"/>
      <c r="D293" s="49" t="n"/>
      <c r="E293" s="49">
        <f>IFERROR(VLOOKUP(D293,'Stock Master'!$A$2:$L$49,2,FALSE),"")</f>
        <v/>
      </c>
      <c r="F293" s="51">
        <f>IFERROR(VLOOKUP(D293,'Stock Master'!$A$2:$L$49,5,FALSE),"")</f>
        <v/>
      </c>
      <c r="G293" s="51" t="n"/>
      <c r="H293" s="51" t="n"/>
      <c r="I293" s="51">
        <f>IFERROR(G293+H293,0)</f>
        <v/>
      </c>
      <c r="J293" s="51">
        <f>IFERROR(F293*G293,0)</f>
        <v/>
      </c>
      <c r="K293" s="51">
        <f>IFERROR(F293*H293,0)</f>
        <v/>
      </c>
      <c r="L293" s="49" t="n"/>
      <c r="M293" s="49" t="n"/>
    </row>
    <row r="294">
      <c r="A294" s="52" t="n"/>
      <c r="B294" s="49" t="n"/>
      <c r="C294" s="49" t="n"/>
      <c r="D294" s="49" t="n"/>
      <c r="E294" s="49">
        <f>IFERROR(VLOOKUP(D294,'Stock Master'!$A$2:$L$49,2,FALSE),"")</f>
        <v/>
      </c>
      <c r="F294" s="51">
        <f>IFERROR(VLOOKUP(D294,'Stock Master'!$A$2:$L$49,5,FALSE),"")</f>
        <v/>
      </c>
      <c r="G294" s="51" t="n"/>
      <c r="H294" s="51" t="n"/>
      <c r="I294" s="51">
        <f>IFERROR(G294+H294,0)</f>
        <v/>
      </c>
      <c r="J294" s="51">
        <f>IFERROR(F294*G294,0)</f>
        <v/>
      </c>
      <c r="K294" s="51">
        <f>IFERROR(F294*H294,0)</f>
        <v/>
      </c>
      <c r="L294" s="49" t="n"/>
      <c r="M294" s="49" t="n"/>
    </row>
    <row r="295">
      <c r="A295" s="52" t="n"/>
      <c r="B295" s="49" t="n"/>
      <c r="C295" s="49" t="n"/>
      <c r="D295" s="49" t="n"/>
      <c r="E295" s="49">
        <f>IFERROR(VLOOKUP(D295,'Stock Master'!$A$2:$L$49,2,FALSE),"")</f>
        <v/>
      </c>
      <c r="F295" s="51">
        <f>IFERROR(VLOOKUP(D295,'Stock Master'!$A$2:$L$49,5,FALSE),"")</f>
        <v/>
      </c>
      <c r="G295" s="51" t="n"/>
      <c r="H295" s="51" t="n"/>
      <c r="I295" s="51">
        <f>IFERROR(G295+H295,0)</f>
        <v/>
      </c>
      <c r="J295" s="51">
        <f>IFERROR(F295*G295,0)</f>
        <v/>
      </c>
      <c r="K295" s="51">
        <f>IFERROR(F295*H295,0)</f>
        <v/>
      </c>
      <c r="L295" s="49" t="n"/>
      <c r="M295" s="49" t="n"/>
    </row>
    <row r="296">
      <c r="A296" s="52" t="n"/>
      <c r="B296" s="49" t="n"/>
      <c r="C296" s="49" t="n"/>
      <c r="D296" s="49" t="n"/>
      <c r="E296" s="49">
        <f>IFERROR(VLOOKUP(D296,'Stock Master'!$A$2:$L$49,2,FALSE),"")</f>
        <v/>
      </c>
      <c r="F296" s="51">
        <f>IFERROR(VLOOKUP(D296,'Stock Master'!$A$2:$L$49,5,FALSE),"")</f>
        <v/>
      </c>
      <c r="G296" s="51" t="n"/>
      <c r="H296" s="51" t="n"/>
      <c r="I296" s="51">
        <f>IFERROR(G296+H296,0)</f>
        <v/>
      </c>
      <c r="J296" s="51">
        <f>IFERROR(F296*G296,0)</f>
        <v/>
      </c>
      <c r="K296" s="51">
        <f>IFERROR(F296*H296,0)</f>
        <v/>
      </c>
      <c r="L296" s="49" t="n"/>
      <c r="M296" s="49" t="n"/>
    </row>
    <row r="297">
      <c r="A297" s="52" t="n"/>
      <c r="B297" s="49" t="n"/>
      <c r="C297" s="49" t="n"/>
      <c r="D297" s="49" t="n"/>
      <c r="E297" s="49">
        <f>IFERROR(VLOOKUP(D297,'Stock Master'!$A$2:$L$49,2,FALSE),"")</f>
        <v/>
      </c>
      <c r="F297" s="51">
        <f>IFERROR(VLOOKUP(D297,'Stock Master'!$A$2:$L$49,5,FALSE),"")</f>
        <v/>
      </c>
      <c r="G297" s="51" t="n"/>
      <c r="H297" s="51" t="n"/>
      <c r="I297" s="51">
        <f>IFERROR(G297+H297,0)</f>
        <v/>
      </c>
      <c r="J297" s="51">
        <f>IFERROR(F297*G297,0)</f>
        <v/>
      </c>
      <c r="K297" s="51">
        <f>IFERROR(F297*H297,0)</f>
        <v/>
      </c>
      <c r="L297" s="49" t="n"/>
      <c r="M297" s="49" t="n"/>
    </row>
    <row r="298">
      <c r="A298" s="52" t="n"/>
      <c r="B298" s="49" t="n"/>
      <c r="C298" s="49" t="n"/>
      <c r="D298" s="49" t="n"/>
      <c r="E298" s="49">
        <f>IFERROR(VLOOKUP(D298,'Stock Master'!$A$2:$L$49,2,FALSE),"")</f>
        <v/>
      </c>
      <c r="F298" s="51">
        <f>IFERROR(VLOOKUP(D298,'Stock Master'!$A$2:$L$49,5,FALSE),"")</f>
        <v/>
      </c>
      <c r="G298" s="51" t="n"/>
      <c r="H298" s="51" t="n"/>
      <c r="I298" s="51">
        <f>IFERROR(G298+H298,0)</f>
        <v/>
      </c>
      <c r="J298" s="51">
        <f>IFERROR(F298*G298,0)</f>
        <v/>
      </c>
      <c r="K298" s="51">
        <f>IFERROR(F298*H298,0)</f>
        <v/>
      </c>
      <c r="L298" s="49" t="n"/>
      <c r="M298" s="49" t="n"/>
    </row>
    <row r="299">
      <c r="A299" s="52" t="n"/>
      <c r="B299" s="49" t="n"/>
      <c r="C299" s="49" t="n"/>
      <c r="D299" s="49" t="n"/>
      <c r="E299" s="49">
        <f>IFERROR(VLOOKUP(D299,'Stock Master'!$A$2:$L$49,2,FALSE),"")</f>
        <v/>
      </c>
      <c r="F299" s="51">
        <f>IFERROR(VLOOKUP(D299,'Stock Master'!$A$2:$L$49,5,FALSE),"")</f>
        <v/>
      </c>
      <c r="G299" s="51" t="n"/>
      <c r="H299" s="51" t="n"/>
      <c r="I299" s="51">
        <f>IFERROR(G299+H299,0)</f>
        <v/>
      </c>
      <c r="J299" s="51">
        <f>IFERROR(F299*G299,0)</f>
        <v/>
      </c>
      <c r="K299" s="51">
        <f>IFERROR(F299*H299,0)</f>
        <v/>
      </c>
      <c r="L299" s="49" t="n"/>
      <c r="M299" s="49" t="n"/>
    </row>
    <row r="300">
      <c r="A300" s="52" t="n"/>
      <c r="B300" s="49" t="n"/>
      <c r="C300" s="49" t="n"/>
      <c r="D300" s="49" t="n"/>
      <c r="E300" s="49">
        <f>IFERROR(VLOOKUP(D300,'Stock Master'!$A$2:$L$49,2,FALSE),"")</f>
        <v/>
      </c>
      <c r="F300" s="51">
        <f>IFERROR(VLOOKUP(D300,'Stock Master'!$A$2:$L$49,5,FALSE),"")</f>
        <v/>
      </c>
      <c r="G300" s="51" t="n"/>
      <c r="H300" s="51" t="n"/>
      <c r="I300" s="51">
        <f>IFERROR(G300+H300,0)</f>
        <v/>
      </c>
      <c r="J300" s="51">
        <f>IFERROR(F300*G300,0)</f>
        <v/>
      </c>
      <c r="K300" s="51">
        <f>IFERROR(F300*H300,0)</f>
        <v/>
      </c>
      <c r="L300" s="49" t="n"/>
      <c r="M300" s="49" t="n"/>
    </row>
    <row r="301">
      <c r="A301" s="52" t="n"/>
      <c r="B301" s="49" t="n"/>
      <c r="C301" s="49" t="n"/>
      <c r="D301" s="49" t="n"/>
      <c r="E301" s="49">
        <f>IFERROR(VLOOKUP(D301,'Stock Master'!$A$2:$L$49,2,FALSE),"")</f>
        <v/>
      </c>
      <c r="F301" s="51">
        <f>IFERROR(VLOOKUP(D301,'Stock Master'!$A$2:$L$49,5,FALSE),"")</f>
        <v/>
      </c>
      <c r="G301" s="51" t="n"/>
      <c r="H301" s="51" t="n"/>
      <c r="I301" s="51">
        <f>IFERROR(G301+H301,0)</f>
        <v/>
      </c>
      <c r="J301" s="51">
        <f>IFERROR(F301*G301,0)</f>
        <v/>
      </c>
      <c r="K301" s="51">
        <f>IFERROR(F301*H301,0)</f>
        <v/>
      </c>
      <c r="L301" s="49" t="n"/>
      <c r="M301" s="49" t="n"/>
    </row>
    <row r="302">
      <c r="A302" s="52" t="n"/>
      <c r="B302" s="49" t="n"/>
      <c r="C302" s="49" t="n"/>
      <c r="D302" s="49" t="n"/>
      <c r="E302" s="49">
        <f>IFERROR(VLOOKUP(D302,'Stock Master'!$A$2:$L$49,2,FALSE),"")</f>
        <v/>
      </c>
      <c r="F302" s="51">
        <f>IFERROR(VLOOKUP(D302,'Stock Master'!$A$2:$L$49,5,FALSE),"")</f>
        <v/>
      </c>
      <c r="G302" s="51" t="n"/>
      <c r="H302" s="51" t="n"/>
      <c r="I302" s="51">
        <f>IFERROR(G302+H302,0)</f>
        <v/>
      </c>
      <c r="J302" s="51">
        <f>IFERROR(F302*G302,0)</f>
        <v/>
      </c>
      <c r="K302" s="51">
        <f>IFERROR(F302*H302,0)</f>
        <v/>
      </c>
      <c r="L302" s="49" t="n"/>
      <c r="M302" s="49" t="n"/>
    </row>
    <row r="303">
      <c r="A303" s="52" t="n"/>
      <c r="B303" s="49" t="n"/>
      <c r="C303" s="49" t="n"/>
      <c r="D303" s="49" t="n"/>
      <c r="E303" s="49">
        <f>IFERROR(VLOOKUP(D303,'Stock Master'!$A$2:$L$49,2,FALSE),"")</f>
        <v/>
      </c>
      <c r="F303" s="51">
        <f>IFERROR(VLOOKUP(D303,'Stock Master'!$A$2:$L$49,5,FALSE),"")</f>
        <v/>
      </c>
      <c r="G303" s="51" t="n"/>
      <c r="H303" s="51" t="n"/>
      <c r="I303" s="51">
        <f>IFERROR(G303+H303,0)</f>
        <v/>
      </c>
      <c r="J303" s="51">
        <f>IFERROR(F303*G303,0)</f>
        <v/>
      </c>
      <c r="K303" s="51">
        <f>IFERROR(F303*H303,0)</f>
        <v/>
      </c>
      <c r="L303" s="49" t="n"/>
      <c r="M303" s="49" t="n"/>
    </row>
    <row r="304">
      <c r="A304" s="52" t="n"/>
      <c r="B304" s="49" t="n"/>
      <c r="C304" s="49" t="n"/>
      <c r="D304" s="49" t="n"/>
      <c r="E304" s="49">
        <f>IFERROR(VLOOKUP(D304,'Stock Master'!$A$2:$L$49,2,FALSE),"")</f>
        <v/>
      </c>
      <c r="F304" s="51">
        <f>IFERROR(VLOOKUP(D304,'Stock Master'!$A$2:$L$49,5,FALSE),"")</f>
        <v/>
      </c>
      <c r="G304" s="51" t="n"/>
      <c r="H304" s="51" t="n"/>
      <c r="I304" s="51">
        <f>IFERROR(G304+H304,0)</f>
        <v/>
      </c>
      <c r="J304" s="51">
        <f>IFERROR(F304*G304,0)</f>
        <v/>
      </c>
      <c r="K304" s="51">
        <f>IFERROR(F304*H304,0)</f>
        <v/>
      </c>
      <c r="L304" s="49" t="n"/>
      <c r="M304" s="49" t="n"/>
    </row>
    <row r="305">
      <c r="A305" s="52" t="n"/>
      <c r="B305" s="49" t="n"/>
      <c r="C305" s="49" t="n"/>
      <c r="D305" s="49" t="n"/>
      <c r="E305" s="49">
        <f>IFERROR(VLOOKUP(D305,'Stock Master'!$A$2:$L$49,2,FALSE),"")</f>
        <v/>
      </c>
      <c r="F305" s="51">
        <f>IFERROR(VLOOKUP(D305,'Stock Master'!$A$2:$L$49,5,FALSE),"")</f>
        <v/>
      </c>
      <c r="G305" s="51" t="n"/>
      <c r="H305" s="51" t="n"/>
      <c r="I305" s="51">
        <f>IFERROR(G305+H305,0)</f>
        <v/>
      </c>
      <c r="J305" s="51">
        <f>IFERROR(F305*G305,0)</f>
        <v/>
      </c>
      <c r="K305" s="51">
        <f>IFERROR(F305*H305,0)</f>
        <v/>
      </c>
      <c r="L305" s="49" t="n"/>
      <c r="M305" s="49" t="n"/>
    </row>
    <row r="306">
      <c r="A306" s="52" t="n"/>
      <c r="B306" s="49" t="n"/>
      <c r="C306" s="49" t="n"/>
      <c r="D306" s="49" t="n"/>
      <c r="E306" s="49">
        <f>IFERROR(VLOOKUP(D306,'Stock Master'!$A$2:$L$49,2,FALSE),"")</f>
        <v/>
      </c>
      <c r="F306" s="51">
        <f>IFERROR(VLOOKUP(D306,'Stock Master'!$A$2:$L$49,5,FALSE),"")</f>
        <v/>
      </c>
      <c r="G306" s="51" t="n"/>
      <c r="H306" s="51" t="n"/>
      <c r="I306" s="51">
        <f>IFERROR(G306+H306,0)</f>
        <v/>
      </c>
      <c r="J306" s="51">
        <f>IFERROR(F306*G306,0)</f>
        <v/>
      </c>
      <c r="K306" s="51">
        <f>IFERROR(F306*H306,0)</f>
        <v/>
      </c>
      <c r="L306" s="49" t="n"/>
      <c r="M306" s="49" t="n"/>
    </row>
    <row r="307">
      <c r="A307" s="52" t="n"/>
      <c r="B307" s="49" t="n"/>
      <c r="C307" s="49" t="n"/>
      <c r="D307" s="49" t="n"/>
      <c r="E307" s="49">
        <f>IFERROR(VLOOKUP(D307,'Stock Master'!$A$2:$L$49,2,FALSE),"")</f>
        <v/>
      </c>
      <c r="F307" s="51">
        <f>IFERROR(VLOOKUP(D307,'Stock Master'!$A$2:$L$49,5,FALSE),"")</f>
        <v/>
      </c>
      <c r="G307" s="51" t="n"/>
      <c r="H307" s="51" t="n"/>
      <c r="I307" s="51">
        <f>IFERROR(G307+H307,0)</f>
        <v/>
      </c>
      <c r="J307" s="51">
        <f>IFERROR(F307*G307,0)</f>
        <v/>
      </c>
      <c r="K307" s="51">
        <f>IFERROR(F307*H307,0)</f>
        <v/>
      </c>
      <c r="L307" s="49" t="n"/>
      <c r="M307" s="49" t="n"/>
    </row>
    <row r="308">
      <c r="A308" s="52" t="n"/>
      <c r="B308" s="49" t="n"/>
      <c r="C308" s="49" t="n"/>
      <c r="D308" s="49" t="n"/>
      <c r="E308" s="49">
        <f>IFERROR(VLOOKUP(D308,'Stock Master'!$A$2:$L$49,2,FALSE),"")</f>
        <v/>
      </c>
      <c r="F308" s="51">
        <f>IFERROR(VLOOKUP(D308,'Stock Master'!$A$2:$L$49,5,FALSE),"")</f>
        <v/>
      </c>
      <c r="G308" s="51" t="n"/>
      <c r="H308" s="51" t="n"/>
      <c r="I308" s="51">
        <f>IFERROR(G308+H308,0)</f>
        <v/>
      </c>
      <c r="J308" s="51">
        <f>IFERROR(F308*G308,0)</f>
        <v/>
      </c>
      <c r="K308" s="51">
        <f>IFERROR(F308*H308,0)</f>
        <v/>
      </c>
      <c r="L308" s="49" t="n"/>
      <c r="M308" s="49" t="n"/>
    </row>
    <row r="309">
      <c r="A309" s="52" t="n"/>
      <c r="B309" s="49" t="n"/>
      <c r="C309" s="49" t="n"/>
      <c r="D309" s="49" t="n"/>
      <c r="E309" s="49">
        <f>IFERROR(VLOOKUP(D309,'Stock Master'!$A$2:$L$49,2,FALSE),"")</f>
        <v/>
      </c>
      <c r="F309" s="51">
        <f>IFERROR(VLOOKUP(D309,'Stock Master'!$A$2:$L$49,5,FALSE),"")</f>
        <v/>
      </c>
      <c r="G309" s="51" t="n"/>
      <c r="H309" s="51" t="n"/>
      <c r="I309" s="51">
        <f>IFERROR(G309+H309,0)</f>
        <v/>
      </c>
      <c r="J309" s="51">
        <f>IFERROR(F309*G309,0)</f>
        <v/>
      </c>
      <c r="K309" s="51">
        <f>IFERROR(F309*H309,0)</f>
        <v/>
      </c>
      <c r="L309" s="49" t="n"/>
      <c r="M309" s="49" t="n"/>
    </row>
    <row r="310">
      <c r="A310" s="52" t="n"/>
      <c r="B310" s="49" t="n"/>
      <c r="C310" s="49" t="n"/>
      <c r="D310" s="49" t="n"/>
      <c r="E310" s="49">
        <f>IFERROR(VLOOKUP(D310,'Stock Master'!$A$2:$L$49,2,FALSE),"")</f>
        <v/>
      </c>
      <c r="F310" s="51">
        <f>IFERROR(VLOOKUP(D310,'Stock Master'!$A$2:$L$49,5,FALSE),"")</f>
        <v/>
      </c>
      <c r="G310" s="51" t="n"/>
      <c r="H310" s="51" t="n"/>
      <c r="I310" s="51">
        <f>IFERROR(G310+H310,0)</f>
        <v/>
      </c>
      <c r="J310" s="51">
        <f>IFERROR(F310*G310,0)</f>
        <v/>
      </c>
      <c r="K310" s="51">
        <f>IFERROR(F310*H310,0)</f>
        <v/>
      </c>
      <c r="L310" s="49" t="n"/>
      <c r="M310" s="49" t="n"/>
    </row>
    <row r="311">
      <c r="A311" s="52" t="n"/>
      <c r="B311" s="49" t="n"/>
      <c r="C311" s="49" t="n"/>
      <c r="D311" s="49" t="n"/>
      <c r="E311" s="49">
        <f>IFERROR(VLOOKUP(D311,'Stock Master'!$A$2:$L$49,2,FALSE),"")</f>
        <v/>
      </c>
      <c r="F311" s="51">
        <f>IFERROR(VLOOKUP(D311,'Stock Master'!$A$2:$L$49,5,FALSE),"")</f>
        <v/>
      </c>
      <c r="G311" s="51" t="n"/>
      <c r="H311" s="51" t="n"/>
      <c r="I311" s="51">
        <f>IFERROR(G311+H311,0)</f>
        <v/>
      </c>
      <c r="J311" s="51">
        <f>IFERROR(F311*G311,0)</f>
        <v/>
      </c>
      <c r="K311" s="51">
        <f>IFERROR(F311*H311,0)</f>
        <v/>
      </c>
      <c r="L311" s="49" t="n"/>
      <c r="M311" s="49" t="n"/>
    </row>
    <row r="312">
      <c r="A312" s="52" t="n"/>
      <c r="B312" s="49" t="n"/>
      <c r="C312" s="49" t="n"/>
      <c r="D312" s="49" t="n"/>
      <c r="E312" s="49">
        <f>IFERROR(VLOOKUP(D312,'Stock Master'!$A$2:$L$49,2,FALSE),"")</f>
        <v/>
      </c>
      <c r="F312" s="51">
        <f>IFERROR(VLOOKUP(D312,'Stock Master'!$A$2:$L$49,5,FALSE),"")</f>
        <v/>
      </c>
      <c r="G312" s="51" t="n"/>
      <c r="H312" s="51" t="n"/>
      <c r="I312" s="51">
        <f>IFERROR(G312+H312,0)</f>
        <v/>
      </c>
      <c r="J312" s="51">
        <f>IFERROR(F312*G312,0)</f>
        <v/>
      </c>
      <c r="K312" s="51">
        <f>IFERROR(F312*H312,0)</f>
        <v/>
      </c>
      <c r="L312" s="49" t="n"/>
      <c r="M312" s="49" t="n"/>
    </row>
    <row r="313">
      <c r="A313" s="52" t="n"/>
      <c r="B313" s="49" t="n"/>
      <c r="C313" s="49" t="n"/>
      <c r="D313" s="49" t="n"/>
      <c r="E313" s="49">
        <f>IFERROR(VLOOKUP(D313,'Stock Master'!$A$2:$L$49,2,FALSE),"")</f>
        <v/>
      </c>
      <c r="F313" s="51">
        <f>IFERROR(VLOOKUP(D313,'Stock Master'!$A$2:$L$49,5,FALSE),"")</f>
        <v/>
      </c>
      <c r="G313" s="51" t="n"/>
      <c r="H313" s="51" t="n"/>
      <c r="I313" s="51">
        <f>IFERROR(G313+H313,0)</f>
        <v/>
      </c>
      <c r="J313" s="51">
        <f>IFERROR(F313*G313,0)</f>
        <v/>
      </c>
      <c r="K313" s="51">
        <f>IFERROR(F313*H313,0)</f>
        <v/>
      </c>
      <c r="L313" s="49" t="n"/>
      <c r="M313" s="49" t="n"/>
    </row>
    <row r="314">
      <c r="A314" s="52" t="n"/>
      <c r="B314" s="49" t="n"/>
      <c r="C314" s="49" t="n"/>
      <c r="D314" s="49" t="n"/>
      <c r="E314" s="49">
        <f>IFERROR(VLOOKUP(D314,'Stock Master'!$A$2:$L$49,2,FALSE),"")</f>
        <v/>
      </c>
      <c r="F314" s="51">
        <f>IFERROR(VLOOKUP(D314,'Stock Master'!$A$2:$L$49,5,FALSE),"")</f>
        <v/>
      </c>
      <c r="G314" s="51" t="n"/>
      <c r="H314" s="51" t="n"/>
      <c r="I314" s="51">
        <f>IFERROR(G314+H314,0)</f>
        <v/>
      </c>
      <c r="J314" s="51">
        <f>IFERROR(F314*G314,0)</f>
        <v/>
      </c>
      <c r="K314" s="51">
        <f>IFERROR(F314*H314,0)</f>
        <v/>
      </c>
      <c r="L314" s="49" t="n"/>
      <c r="M314" s="49" t="n"/>
    </row>
    <row r="315">
      <c r="A315" s="52" t="n"/>
      <c r="B315" s="49" t="n"/>
      <c r="C315" s="49" t="n"/>
      <c r="D315" s="49" t="n"/>
      <c r="E315" s="49">
        <f>IFERROR(VLOOKUP(D315,'Stock Master'!$A$2:$L$49,2,FALSE),"")</f>
        <v/>
      </c>
      <c r="F315" s="51">
        <f>IFERROR(VLOOKUP(D315,'Stock Master'!$A$2:$L$49,5,FALSE),"")</f>
        <v/>
      </c>
      <c r="G315" s="51" t="n"/>
      <c r="H315" s="51" t="n"/>
      <c r="I315" s="51">
        <f>IFERROR(G315+H315,0)</f>
        <v/>
      </c>
      <c r="J315" s="51">
        <f>IFERROR(F315*G315,0)</f>
        <v/>
      </c>
      <c r="K315" s="51">
        <f>IFERROR(F315*H315,0)</f>
        <v/>
      </c>
      <c r="L315" s="49" t="n"/>
      <c r="M315" s="49" t="n"/>
    </row>
    <row r="316">
      <c r="A316" s="52" t="n"/>
      <c r="B316" s="49" t="n"/>
      <c r="C316" s="49" t="n"/>
      <c r="D316" s="49" t="n"/>
      <c r="E316" s="49">
        <f>IFERROR(VLOOKUP(D316,'Stock Master'!$A$2:$L$49,2,FALSE),"")</f>
        <v/>
      </c>
      <c r="F316" s="51">
        <f>IFERROR(VLOOKUP(D316,'Stock Master'!$A$2:$L$49,5,FALSE),"")</f>
        <v/>
      </c>
      <c r="G316" s="51" t="n"/>
      <c r="H316" s="51" t="n"/>
      <c r="I316" s="51">
        <f>IFERROR(G316+H316,0)</f>
        <v/>
      </c>
      <c r="J316" s="51">
        <f>IFERROR(F316*G316,0)</f>
        <v/>
      </c>
      <c r="K316" s="51">
        <f>IFERROR(F316*H316,0)</f>
        <v/>
      </c>
      <c r="L316" s="49" t="n"/>
      <c r="M316" s="49" t="n"/>
    </row>
    <row r="317">
      <c r="A317" s="52" t="n"/>
      <c r="B317" s="49" t="n"/>
      <c r="C317" s="49" t="n"/>
      <c r="D317" s="49" t="n"/>
      <c r="E317" s="49">
        <f>IFERROR(VLOOKUP(D317,'Stock Master'!$A$2:$L$49,2,FALSE),"")</f>
        <v/>
      </c>
      <c r="F317" s="51">
        <f>IFERROR(VLOOKUP(D317,'Stock Master'!$A$2:$L$49,5,FALSE),"")</f>
        <v/>
      </c>
      <c r="G317" s="51" t="n"/>
      <c r="H317" s="51" t="n"/>
      <c r="I317" s="51">
        <f>IFERROR(G317+H317,0)</f>
        <v/>
      </c>
      <c r="J317" s="51">
        <f>IFERROR(F317*G317,0)</f>
        <v/>
      </c>
      <c r="K317" s="51">
        <f>IFERROR(F317*H317,0)</f>
        <v/>
      </c>
      <c r="L317" s="49" t="n"/>
      <c r="M317" s="49" t="n"/>
    </row>
    <row r="318">
      <c r="A318" s="52" t="n"/>
      <c r="B318" s="49" t="n"/>
      <c r="C318" s="49" t="n"/>
      <c r="D318" s="49" t="n"/>
      <c r="E318" s="49">
        <f>IFERROR(VLOOKUP(D318,'Stock Master'!$A$2:$L$49,2,FALSE),"")</f>
        <v/>
      </c>
      <c r="F318" s="51">
        <f>IFERROR(VLOOKUP(D318,'Stock Master'!$A$2:$L$49,5,FALSE),"")</f>
        <v/>
      </c>
      <c r="G318" s="51" t="n"/>
      <c r="H318" s="51" t="n"/>
      <c r="I318" s="51">
        <f>IFERROR(G318+H318,0)</f>
        <v/>
      </c>
      <c r="J318" s="51">
        <f>IFERROR(F318*G318,0)</f>
        <v/>
      </c>
      <c r="K318" s="51">
        <f>IFERROR(F318*H318,0)</f>
        <v/>
      </c>
      <c r="L318" s="49" t="n"/>
      <c r="M318" s="49" t="n"/>
    </row>
    <row r="319">
      <c r="A319" s="52" t="n"/>
      <c r="B319" s="49" t="n"/>
      <c r="C319" s="49" t="n"/>
      <c r="D319" s="49" t="n"/>
      <c r="E319" s="49">
        <f>IFERROR(VLOOKUP(D319,'Stock Master'!$A$2:$L$49,2,FALSE),"")</f>
        <v/>
      </c>
      <c r="F319" s="51">
        <f>IFERROR(VLOOKUP(D319,'Stock Master'!$A$2:$L$49,5,FALSE),"")</f>
        <v/>
      </c>
      <c r="G319" s="51" t="n"/>
      <c r="H319" s="51" t="n"/>
      <c r="I319" s="51">
        <f>IFERROR(G319+H319,0)</f>
        <v/>
      </c>
      <c r="J319" s="51">
        <f>IFERROR(F319*G319,0)</f>
        <v/>
      </c>
      <c r="K319" s="51">
        <f>IFERROR(F319*H319,0)</f>
        <v/>
      </c>
      <c r="L319" s="49" t="n"/>
      <c r="M319" s="49" t="n"/>
    </row>
    <row r="320">
      <c r="A320" s="52" t="n"/>
      <c r="B320" s="49" t="n"/>
      <c r="C320" s="49" t="n"/>
      <c r="D320" s="49" t="n"/>
      <c r="E320" s="49">
        <f>IFERROR(VLOOKUP(D320,'Stock Master'!$A$2:$L$49,2,FALSE),"")</f>
        <v/>
      </c>
      <c r="F320" s="51">
        <f>IFERROR(VLOOKUP(D320,'Stock Master'!$A$2:$L$49,5,FALSE),"")</f>
        <v/>
      </c>
      <c r="G320" s="51" t="n"/>
      <c r="H320" s="51" t="n"/>
      <c r="I320" s="51">
        <f>IFERROR(G320+H320,0)</f>
        <v/>
      </c>
      <c r="J320" s="51">
        <f>IFERROR(F320*G320,0)</f>
        <v/>
      </c>
      <c r="K320" s="51">
        <f>IFERROR(F320*H320,0)</f>
        <v/>
      </c>
      <c r="L320" s="49" t="n"/>
      <c r="M320" s="49" t="n"/>
    </row>
    <row r="321">
      <c r="A321" s="52" t="n"/>
      <c r="B321" s="49" t="n"/>
      <c r="C321" s="49" t="n"/>
      <c r="D321" s="49" t="n"/>
      <c r="E321" s="49">
        <f>IFERROR(VLOOKUP(D321,'Stock Master'!$A$2:$L$49,2,FALSE),"")</f>
        <v/>
      </c>
      <c r="F321" s="51">
        <f>IFERROR(VLOOKUP(D321,'Stock Master'!$A$2:$L$49,5,FALSE),"")</f>
        <v/>
      </c>
      <c r="G321" s="51" t="n"/>
      <c r="H321" s="51" t="n"/>
      <c r="I321" s="51">
        <f>IFERROR(G321+H321,0)</f>
        <v/>
      </c>
      <c r="J321" s="51">
        <f>IFERROR(F321*G321,0)</f>
        <v/>
      </c>
      <c r="K321" s="51">
        <f>IFERROR(F321*H321,0)</f>
        <v/>
      </c>
      <c r="L321" s="49" t="n"/>
      <c r="M321" s="49" t="n"/>
    </row>
    <row r="322">
      <c r="A322" s="52" t="n"/>
      <c r="B322" s="49" t="n"/>
      <c r="C322" s="49" t="n"/>
      <c r="D322" s="49" t="n"/>
      <c r="E322" s="49">
        <f>IFERROR(VLOOKUP(D322,'Stock Master'!$A$2:$L$49,2,FALSE),"")</f>
        <v/>
      </c>
      <c r="F322" s="51">
        <f>IFERROR(VLOOKUP(D322,'Stock Master'!$A$2:$L$49,5,FALSE),"")</f>
        <v/>
      </c>
      <c r="G322" s="51" t="n"/>
      <c r="H322" s="51" t="n"/>
      <c r="I322" s="51">
        <f>IFERROR(G322+H322,0)</f>
        <v/>
      </c>
      <c r="J322" s="51">
        <f>IFERROR(F322*G322,0)</f>
        <v/>
      </c>
      <c r="K322" s="51">
        <f>IFERROR(F322*H322,0)</f>
        <v/>
      </c>
      <c r="L322" s="49" t="n"/>
      <c r="M322" s="49" t="n"/>
    </row>
    <row r="323">
      <c r="A323" s="52" t="n"/>
      <c r="B323" s="49" t="n"/>
      <c r="C323" s="49" t="n"/>
      <c r="D323" s="49" t="n"/>
      <c r="E323" s="49">
        <f>IFERROR(VLOOKUP(D323,'Stock Master'!$A$2:$L$49,2,FALSE),"")</f>
        <v/>
      </c>
      <c r="F323" s="51">
        <f>IFERROR(VLOOKUP(D323,'Stock Master'!$A$2:$L$49,5,FALSE),"")</f>
        <v/>
      </c>
      <c r="G323" s="51" t="n"/>
      <c r="H323" s="51" t="n"/>
      <c r="I323" s="51">
        <f>IFERROR(G323+H323,0)</f>
        <v/>
      </c>
      <c r="J323" s="51">
        <f>IFERROR(F323*G323,0)</f>
        <v/>
      </c>
      <c r="K323" s="51">
        <f>IFERROR(F323*H323,0)</f>
        <v/>
      </c>
      <c r="L323" s="49" t="n"/>
      <c r="M323" s="49" t="n"/>
    </row>
    <row r="324">
      <c r="A324" s="52" t="n"/>
      <c r="B324" s="49" t="n"/>
      <c r="C324" s="49" t="n"/>
      <c r="D324" s="49" t="n"/>
      <c r="E324" s="49">
        <f>IFERROR(VLOOKUP(D324,'Stock Master'!$A$2:$L$49,2,FALSE),"")</f>
        <v/>
      </c>
      <c r="F324" s="51">
        <f>IFERROR(VLOOKUP(D324,'Stock Master'!$A$2:$L$49,5,FALSE),"")</f>
        <v/>
      </c>
      <c r="G324" s="51" t="n"/>
      <c r="H324" s="51" t="n"/>
      <c r="I324" s="51">
        <f>IFERROR(G324+H324,0)</f>
        <v/>
      </c>
      <c r="J324" s="51">
        <f>IFERROR(F324*G324,0)</f>
        <v/>
      </c>
      <c r="K324" s="51">
        <f>IFERROR(F324*H324,0)</f>
        <v/>
      </c>
      <c r="L324" s="49" t="n"/>
      <c r="M324" s="49" t="n"/>
    </row>
    <row r="325">
      <c r="A325" s="52" t="n"/>
      <c r="B325" s="49" t="n"/>
      <c r="C325" s="49" t="n"/>
      <c r="D325" s="49" t="n"/>
      <c r="E325" s="49">
        <f>IFERROR(VLOOKUP(D325,'Stock Master'!$A$2:$L$49,2,FALSE),"")</f>
        <v/>
      </c>
      <c r="F325" s="51">
        <f>IFERROR(VLOOKUP(D325,'Stock Master'!$A$2:$L$49,5,FALSE),"")</f>
        <v/>
      </c>
      <c r="G325" s="51" t="n"/>
      <c r="H325" s="51" t="n"/>
      <c r="I325" s="51">
        <f>IFERROR(G325+H325,0)</f>
        <v/>
      </c>
      <c r="J325" s="51">
        <f>IFERROR(F325*G325,0)</f>
        <v/>
      </c>
      <c r="K325" s="51">
        <f>IFERROR(F325*H325,0)</f>
        <v/>
      </c>
      <c r="L325" s="49" t="n"/>
      <c r="M325" s="49" t="n"/>
    </row>
    <row r="326">
      <c r="A326" s="52" t="n"/>
      <c r="B326" s="49" t="n"/>
      <c r="C326" s="49" t="n"/>
      <c r="D326" s="49" t="n"/>
      <c r="E326" s="49">
        <f>IFERROR(VLOOKUP(D326,'Stock Master'!$A$2:$L$49,2,FALSE),"")</f>
        <v/>
      </c>
      <c r="F326" s="51">
        <f>IFERROR(VLOOKUP(D326,'Stock Master'!$A$2:$L$49,5,FALSE),"")</f>
        <v/>
      </c>
      <c r="G326" s="51" t="n"/>
      <c r="H326" s="51" t="n"/>
      <c r="I326" s="51">
        <f>IFERROR(G326+H326,0)</f>
        <v/>
      </c>
      <c r="J326" s="51">
        <f>IFERROR(F326*G326,0)</f>
        <v/>
      </c>
      <c r="K326" s="51">
        <f>IFERROR(F326*H326,0)</f>
        <v/>
      </c>
      <c r="L326" s="49" t="n"/>
      <c r="M326" s="49" t="n"/>
    </row>
    <row r="327">
      <c r="A327" s="52" t="n"/>
      <c r="B327" s="49" t="n"/>
      <c r="C327" s="49" t="n"/>
      <c r="D327" s="49" t="n"/>
      <c r="E327" s="49">
        <f>IFERROR(VLOOKUP(D327,'Stock Master'!$A$2:$L$49,2,FALSE),"")</f>
        <v/>
      </c>
      <c r="F327" s="51">
        <f>IFERROR(VLOOKUP(D327,'Stock Master'!$A$2:$L$49,5,FALSE),"")</f>
        <v/>
      </c>
      <c r="G327" s="51" t="n"/>
      <c r="H327" s="51" t="n"/>
      <c r="I327" s="51">
        <f>IFERROR(G327+H327,0)</f>
        <v/>
      </c>
      <c r="J327" s="51">
        <f>IFERROR(F327*G327,0)</f>
        <v/>
      </c>
      <c r="K327" s="51">
        <f>IFERROR(F327*H327,0)</f>
        <v/>
      </c>
      <c r="L327" s="49" t="n"/>
      <c r="M327" s="49" t="n"/>
    </row>
    <row r="328">
      <c r="A328" s="52" t="n"/>
      <c r="B328" s="49" t="n"/>
      <c r="C328" s="49" t="n"/>
      <c r="D328" s="49" t="n"/>
      <c r="E328" s="49">
        <f>IFERROR(VLOOKUP(D328,'Stock Master'!$A$2:$L$49,2,FALSE),"")</f>
        <v/>
      </c>
      <c r="F328" s="51">
        <f>IFERROR(VLOOKUP(D328,'Stock Master'!$A$2:$L$49,5,FALSE),"")</f>
        <v/>
      </c>
      <c r="G328" s="51" t="n"/>
      <c r="H328" s="51" t="n"/>
      <c r="I328" s="51">
        <f>IFERROR(G328+H328,0)</f>
        <v/>
      </c>
      <c r="J328" s="51">
        <f>IFERROR(F328*G328,0)</f>
        <v/>
      </c>
      <c r="K328" s="51">
        <f>IFERROR(F328*H328,0)</f>
        <v/>
      </c>
      <c r="L328" s="49" t="n"/>
      <c r="M328" s="49" t="n"/>
    </row>
    <row r="329">
      <c r="A329" s="52" t="n"/>
      <c r="B329" s="49" t="n"/>
      <c r="C329" s="49" t="n"/>
      <c r="D329" s="49" t="n"/>
      <c r="E329" s="49">
        <f>IFERROR(VLOOKUP(D329,'Stock Master'!$A$2:$L$49,2,FALSE),"")</f>
        <v/>
      </c>
      <c r="F329" s="51">
        <f>IFERROR(VLOOKUP(D329,'Stock Master'!$A$2:$L$49,5,FALSE),"")</f>
        <v/>
      </c>
      <c r="G329" s="51" t="n"/>
      <c r="H329" s="51" t="n"/>
      <c r="I329" s="51">
        <f>IFERROR(G329+H329,0)</f>
        <v/>
      </c>
      <c r="J329" s="51">
        <f>IFERROR(F329*G329,0)</f>
        <v/>
      </c>
      <c r="K329" s="51">
        <f>IFERROR(F329*H329,0)</f>
        <v/>
      </c>
      <c r="L329" s="49" t="n"/>
      <c r="M329" s="49" t="n"/>
    </row>
    <row r="330">
      <c r="A330" s="52" t="n"/>
      <c r="B330" s="49" t="n"/>
      <c r="C330" s="49" t="n"/>
      <c r="D330" s="49" t="n"/>
      <c r="E330" s="49">
        <f>IFERROR(VLOOKUP(D330,'Stock Master'!$A$2:$L$49,2,FALSE),"")</f>
        <v/>
      </c>
      <c r="F330" s="51">
        <f>IFERROR(VLOOKUP(D330,'Stock Master'!$A$2:$L$49,5,FALSE),"")</f>
        <v/>
      </c>
      <c r="G330" s="51" t="n"/>
      <c r="H330" s="51" t="n"/>
      <c r="I330" s="51">
        <f>IFERROR(G330+H330,0)</f>
        <v/>
      </c>
      <c r="J330" s="51">
        <f>IFERROR(F330*G330,0)</f>
        <v/>
      </c>
      <c r="K330" s="51">
        <f>IFERROR(F330*H330,0)</f>
        <v/>
      </c>
      <c r="L330" s="49" t="n"/>
      <c r="M330" s="49" t="n"/>
    </row>
    <row r="331">
      <c r="A331" s="52" t="n"/>
      <c r="B331" s="49" t="n"/>
      <c r="C331" s="49" t="n"/>
      <c r="D331" s="49" t="n"/>
      <c r="E331" s="49">
        <f>IFERROR(VLOOKUP(D331,'Stock Master'!$A$2:$L$49,2,FALSE),"")</f>
        <v/>
      </c>
      <c r="F331" s="51">
        <f>IFERROR(VLOOKUP(D331,'Stock Master'!$A$2:$L$49,5,FALSE),"")</f>
        <v/>
      </c>
      <c r="G331" s="51" t="n"/>
      <c r="H331" s="51" t="n"/>
      <c r="I331" s="51">
        <f>IFERROR(G331+H331,0)</f>
        <v/>
      </c>
      <c r="J331" s="51">
        <f>IFERROR(F331*G331,0)</f>
        <v/>
      </c>
      <c r="K331" s="51">
        <f>IFERROR(F331*H331,0)</f>
        <v/>
      </c>
      <c r="L331" s="49" t="n"/>
      <c r="M331" s="49" t="n"/>
    </row>
    <row r="332">
      <c r="A332" s="52" t="n"/>
      <c r="B332" s="49" t="n"/>
      <c r="C332" s="49" t="n"/>
      <c r="D332" s="49" t="n"/>
      <c r="E332" s="49">
        <f>IFERROR(VLOOKUP(D332,'Stock Master'!$A$2:$L$49,2,FALSE),"")</f>
        <v/>
      </c>
      <c r="F332" s="51">
        <f>IFERROR(VLOOKUP(D332,'Stock Master'!$A$2:$L$49,5,FALSE),"")</f>
        <v/>
      </c>
      <c r="G332" s="51" t="n"/>
      <c r="H332" s="51" t="n"/>
      <c r="I332" s="51">
        <f>IFERROR(G332+H332,0)</f>
        <v/>
      </c>
      <c r="J332" s="51">
        <f>IFERROR(F332*G332,0)</f>
        <v/>
      </c>
      <c r="K332" s="51">
        <f>IFERROR(F332*H332,0)</f>
        <v/>
      </c>
      <c r="L332" s="49" t="n"/>
      <c r="M332" s="49" t="n"/>
    </row>
    <row r="333">
      <c r="A333" s="52" t="n"/>
      <c r="B333" s="49" t="n"/>
      <c r="C333" s="49" t="n"/>
      <c r="D333" s="49" t="n"/>
      <c r="E333" s="49">
        <f>IFERROR(VLOOKUP(D333,'Stock Master'!$A$2:$L$49,2,FALSE),"")</f>
        <v/>
      </c>
      <c r="F333" s="51">
        <f>IFERROR(VLOOKUP(D333,'Stock Master'!$A$2:$L$49,5,FALSE),"")</f>
        <v/>
      </c>
      <c r="G333" s="51" t="n"/>
      <c r="H333" s="51" t="n"/>
      <c r="I333" s="51">
        <f>IFERROR(G333+H333,0)</f>
        <v/>
      </c>
      <c r="J333" s="51">
        <f>IFERROR(F333*G333,0)</f>
        <v/>
      </c>
      <c r="K333" s="51">
        <f>IFERROR(F333*H333,0)</f>
        <v/>
      </c>
      <c r="L333" s="49" t="n"/>
      <c r="M333" s="49" t="n"/>
    </row>
    <row r="334">
      <c r="A334" s="52" t="n"/>
      <c r="B334" s="49" t="n"/>
      <c r="C334" s="49" t="n"/>
      <c r="D334" s="49" t="n"/>
      <c r="E334" s="49">
        <f>IFERROR(VLOOKUP(D334,'Stock Master'!$A$2:$L$49,2,FALSE),"")</f>
        <v/>
      </c>
      <c r="F334" s="51">
        <f>IFERROR(VLOOKUP(D334,'Stock Master'!$A$2:$L$49,5,FALSE),"")</f>
        <v/>
      </c>
      <c r="G334" s="51" t="n"/>
      <c r="H334" s="51" t="n"/>
      <c r="I334" s="51">
        <f>IFERROR(G334+H334,0)</f>
        <v/>
      </c>
      <c r="J334" s="51">
        <f>IFERROR(F334*G334,0)</f>
        <v/>
      </c>
      <c r="K334" s="51">
        <f>IFERROR(F334*H334,0)</f>
        <v/>
      </c>
      <c r="L334" s="49" t="n"/>
      <c r="M334" s="49" t="n"/>
    </row>
    <row r="335">
      <c r="A335" s="52" t="n"/>
      <c r="B335" s="49" t="n"/>
      <c r="C335" s="49" t="n"/>
      <c r="D335" s="49" t="n"/>
      <c r="E335" s="49">
        <f>IFERROR(VLOOKUP(D335,'Stock Master'!$A$2:$L$49,2,FALSE),"")</f>
        <v/>
      </c>
      <c r="F335" s="51">
        <f>IFERROR(VLOOKUP(D335,'Stock Master'!$A$2:$L$49,5,FALSE),"")</f>
        <v/>
      </c>
      <c r="G335" s="51" t="n"/>
      <c r="H335" s="51" t="n"/>
      <c r="I335" s="51">
        <f>IFERROR(G335+H335,0)</f>
        <v/>
      </c>
      <c r="J335" s="51">
        <f>IFERROR(F335*G335,0)</f>
        <v/>
      </c>
      <c r="K335" s="51">
        <f>IFERROR(F335*H335,0)</f>
        <v/>
      </c>
      <c r="L335" s="49" t="n"/>
      <c r="M335" s="49" t="n"/>
    </row>
    <row r="336">
      <c r="A336" s="52" t="n"/>
      <c r="B336" s="49" t="n"/>
      <c r="C336" s="49" t="n"/>
      <c r="D336" s="49" t="n"/>
      <c r="E336" s="49">
        <f>IFERROR(VLOOKUP(D336,'Stock Master'!$A$2:$L$49,2,FALSE),"")</f>
        <v/>
      </c>
      <c r="F336" s="51">
        <f>IFERROR(VLOOKUP(D336,'Stock Master'!$A$2:$L$49,5,FALSE),"")</f>
        <v/>
      </c>
      <c r="G336" s="51" t="n"/>
      <c r="H336" s="51" t="n"/>
      <c r="I336" s="51">
        <f>IFERROR(G336+H336,0)</f>
        <v/>
      </c>
      <c r="J336" s="51">
        <f>IFERROR(F336*G336,0)</f>
        <v/>
      </c>
      <c r="K336" s="51">
        <f>IFERROR(F336*H336,0)</f>
        <v/>
      </c>
      <c r="L336" s="49" t="n"/>
      <c r="M336" s="49" t="n"/>
    </row>
    <row r="337">
      <c r="A337" s="52" t="n"/>
      <c r="B337" s="49" t="n"/>
      <c r="C337" s="49" t="n"/>
      <c r="D337" s="49" t="n"/>
      <c r="E337" s="49">
        <f>IFERROR(VLOOKUP(D337,'Stock Master'!$A$2:$L$49,2,FALSE),"")</f>
        <v/>
      </c>
      <c r="F337" s="51">
        <f>IFERROR(VLOOKUP(D337,'Stock Master'!$A$2:$L$49,5,FALSE),"")</f>
        <v/>
      </c>
      <c r="G337" s="51" t="n"/>
      <c r="H337" s="51" t="n"/>
      <c r="I337" s="51">
        <f>IFERROR(G337+H337,0)</f>
        <v/>
      </c>
      <c r="J337" s="51">
        <f>IFERROR(F337*G337,0)</f>
        <v/>
      </c>
      <c r="K337" s="51">
        <f>IFERROR(F337*H337,0)</f>
        <v/>
      </c>
      <c r="L337" s="49" t="n"/>
      <c r="M337" s="49" t="n"/>
    </row>
    <row r="338">
      <c r="A338" s="52" t="n"/>
      <c r="B338" s="49" t="n"/>
      <c r="C338" s="49" t="n"/>
      <c r="D338" s="49" t="n"/>
      <c r="E338" s="49">
        <f>IFERROR(VLOOKUP(D338,'Stock Master'!$A$2:$L$49,2,FALSE),"")</f>
        <v/>
      </c>
      <c r="F338" s="51">
        <f>IFERROR(VLOOKUP(D338,'Stock Master'!$A$2:$L$49,5,FALSE),"")</f>
        <v/>
      </c>
      <c r="G338" s="51" t="n"/>
      <c r="H338" s="51" t="n"/>
      <c r="I338" s="51">
        <f>IFERROR(G338+H338,0)</f>
        <v/>
      </c>
      <c r="J338" s="51">
        <f>IFERROR(F338*G338,0)</f>
        <v/>
      </c>
      <c r="K338" s="51">
        <f>IFERROR(F338*H338,0)</f>
        <v/>
      </c>
      <c r="L338" s="49" t="n"/>
      <c r="M338" s="49" t="n"/>
    </row>
    <row r="339">
      <c r="A339" s="52" t="n"/>
      <c r="B339" s="49" t="n"/>
      <c r="C339" s="49" t="n"/>
      <c r="D339" s="49" t="n"/>
      <c r="E339" s="49">
        <f>IFERROR(VLOOKUP(D339,'Stock Master'!$A$2:$L$49,2,FALSE),"")</f>
        <v/>
      </c>
      <c r="F339" s="51">
        <f>IFERROR(VLOOKUP(D339,'Stock Master'!$A$2:$L$49,5,FALSE),"")</f>
        <v/>
      </c>
      <c r="G339" s="51" t="n"/>
      <c r="H339" s="51" t="n"/>
      <c r="I339" s="51">
        <f>IFERROR(G339+H339,0)</f>
        <v/>
      </c>
      <c r="J339" s="51">
        <f>IFERROR(F339*G339,0)</f>
        <v/>
      </c>
      <c r="K339" s="51">
        <f>IFERROR(F339*H339,0)</f>
        <v/>
      </c>
      <c r="L339" s="49" t="n"/>
      <c r="M339" s="49" t="n"/>
    </row>
    <row r="340">
      <c r="A340" s="52" t="n"/>
      <c r="B340" s="49" t="n"/>
      <c r="C340" s="49" t="n"/>
      <c r="D340" s="49" t="n"/>
      <c r="E340" s="49">
        <f>IFERROR(VLOOKUP(D340,'Stock Master'!$A$2:$L$49,2,FALSE),"")</f>
        <v/>
      </c>
      <c r="F340" s="51">
        <f>IFERROR(VLOOKUP(D340,'Stock Master'!$A$2:$L$49,5,FALSE),"")</f>
        <v/>
      </c>
      <c r="G340" s="51" t="n"/>
      <c r="H340" s="51" t="n"/>
      <c r="I340" s="51">
        <f>IFERROR(G340+H340,0)</f>
        <v/>
      </c>
      <c r="J340" s="51">
        <f>IFERROR(F340*G340,0)</f>
        <v/>
      </c>
      <c r="K340" s="51">
        <f>IFERROR(F340*H340,0)</f>
        <v/>
      </c>
      <c r="L340" s="49" t="n"/>
      <c r="M340" s="49" t="n"/>
    </row>
    <row r="341">
      <c r="A341" s="52" t="n"/>
      <c r="B341" s="49" t="n"/>
      <c r="C341" s="49" t="n"/>
      <c r="D341" s="49" t="n"/>
      <c r="E341" s="49">
        <f>IFERROR(VLOOKUP(D341,'Stock Master'!$A$2:$L$49,2,FALSE),"")</f>
        <v/>
      </c>
      <c r="F341" s="51">
        <f>IFERROR(VLOOKUP(D341,'Stock Master'!$A$2:$L$49,5,FALSE),"")</f>
        <v/>
      </c>
      <c r="G341" s="51" t="n"/>
      <c r="H341" s="51" t="n"/>
      <c r="I341" s="51">
        <f>IFERROR(G341+H341,0)</f>
        <v/>
      </c>
      <c r="J341" s="51">
        <f>IFERROR(F341*G341,0)</f>
        <v/>
      </c>
      <c r="K341" s="51">
        <f>IFERROR(F341*H341,0)</f>
        <v/>
      </c>
      <c r="L341" s="49" t="n"/>
      <c r="M341" s="49" t="n"/>
    </row>
    <row r="342">
      <c r="A342" s="52" t="n"/>
      <c r="B342" s="49" t="n"/>
      <c r="C342" s="49" t="n"/>
      <c r="D342" s="49" t="n"/>
      <c r="E342" s="49">
        <f>IFERROR(VLOOKUP(D342,'Stock Master'!$A$2:$L$49,2,FALSE),"")</f>
        <v/>
      </c>
      <c r="F342" s="51">
        <f>IFERROR(VLOOKUP(D342,'Stock Master'!$A$2:$L$49,5,FALSE),"")</f>
        <v/>
      </c>
      <c r="G342" s="51" t="n"/>
      <c r="H342" s="51" t="n"/>
      <c r="I342" s="51">
        <f>IFERROR(G342+H342,0)</f>
        <v/>
      </c>
      <c r="J342" s="51">
        <f>IFERROR(F342*G342,0)</f>
        <v/>
      </c>
      <c r="K342" s="51">
        <f>IFERROR(F342*H342,0)</f>
        <v/>
      </c>
      <c r="L342" s="49" t="n"/>
      <c r="M342" s="49" t="n"/>
    </row>
    <row r="343">
      <c r="A343" s="52" t="n"/>
      <c r="B343" s="49" t="n"/>
      <c r="C343" s="49" t="n"/>
      <c r="D343" s="49" t="n"/>
      <c r="E343" s="49">
        <f>IFERROR(VLOOKUP(D343,'Stock Master'!$A$2:$L$49,2,FALSE),"")</f>
        <v/>
      </c>
      <c r="F343" s="51">
        <f>IFERROR(VLOOKUP(D343,'Stock Master'!$A$2:$L$49,5,FALSE),"")</f>
        <v/>
      </c>
      <c r="G343" s="51" t="n"/>
      <c r="H343" s="51" t="n"/>
      <c r="I343" s="51">
        <f>IFERROR(G343+H343,0)</f>
        <v/>
      </c>
      <c r="J343" s="51">
        <f>IFERROR(F343*G343,0)</f>
        <v/>
      </c>
      <c r="K343" s="51">
        <f>IFERROR(F343*H343,0)</f>
        <v/>
      </c>
      <c r="L343" s="49" t="n"/>
      <c r="M343" s="49" t="n"/>
    </row>
    <row r="344">
      <c r="A344" s="52" t="n"/>
      <c r="B344" s="49" t="n"/>
      <c r="C344" s="49" t="n"/>
      <c r="D344" s="49" t="n"/>
      <c r="E344" s="49">
        <f>IFERROR(VLOOKUP(D344,'Stock Master'!$A$2:$L$49,2,FALSE),"")</f>
        <v/>
      </c>
      <c r="F344" s="51">
        <f>IFERROR(VLOOKUP(D344,'Stock Master'!$A$2:$L$49,5,FALSE),"")</f>
        <v/>
      </c>
      <c r="G344" s="51" t="n"/>
      <c r="H344" s="51" t="n"/>
      <c r="I344" s="51">
        <f>IFERROR(G344+H344,0)</f>
        <v/>
      </c>
      <c r="J344" s="51">
        <f>IFERROR(F344*G344,0)</f>
        <v/>
      </c>
      <c r="K344" s="51">
        <f>IFERROR(F344*H344,0)</f>
        <v/>
      </c>
      <c r="L344" s="49" t="n"/>
      <c r="M344" s="49" t="n"/>
    </row>
    <row r="345">
      <c r="A345" s="52" t="n"/>
      <c r="B345" s="49" t="n"/>
      <c r="C345" s="49" t="n"/>
      <c r="D345" s="49" t="n"/>
      <c r="E345" s="49">
        <f>IFERROR(VLOOKUP(D345,'Stock Master'!$A$2:$L$49,2,FALSE),"")</f>
        <v/>
      </c>
      <c r="F345" s="51">
        <f>IFERROR(VLOOKUP(D345,'Stock Master'!$A$2:$L$49,5,FALSE),"")</f>
        <v/>
      </c>
      <c r="G345" s="51" t="n"/>
      <c r="H345" s="51" t="n"/>
      <c r="I345" s="51">
        <f>IFERROR(G345+H345,0)</f>
        <v/>
      </c>
      <c r="J345" s="51">
        <f>IFERROR(F345*G345,0)</f>
        <v/>
      </c>
      <c r="K345" s="51">
        <f>IFERROR(F345*H345,0)</f>
        <v/>
      </c>
      <c r="L345" s="49" t="n"/>
      <c r="M345" s="49" t="n"/>
    </row>
    <row r="346">
      <c r="A346" s="52" t="n"/>
      <c r="B346" s="49" t="n"/>
      <c r="C346" s="49" t="n"/>
      <c r="D346" s="49" t="n"/>
      <c r="E346" s="49">
        <f>IFERROR(VLOOKUP(D346,'Stock Master'!$A$2:$L$49,2,FALSE),"")</f>
        <v/>
      </c>
      <c r="F346" s="51">
        <f>IFERROR(VLOOKUP(D346,'Stock Master'!$A$2:$L$49,5,FALSE),"")</f>
        <v/>
      </c>
      <c r="G346" s="51" t="n"/>
      <c r="H346" s="51" t="n"/>
      <c r="I346" s="51">
        <f>IFERROR(G346+H346,0)</f>
        <v/>
      </c>
      <c r="J346" s="51">
        <f>IFERROR(F346*G346,0)</f>
        <v/>
      </c>
      <c r="K346" s="51">
        <f>IFERROR(F346*H346,0)</f>
        <v/>
      </c>
      <c r="L346" s="49" t="n"/>
      <c r="M346" s="49" t="n"/>
    </row>
    <row r="347">
      <c r="A347" s="52" t="n"/>
      <c r="B347" s="49" t="n"/>
      <c r="C347" s="49" t="n"/>
      <c r="D347" s="49" t="n"/>
      <c r="E347" s="49">
        <f>IFERROR(VLOOKUP(D347,'Stock Master'!$A$2:$L$49,2,FALSE),"")</f>
        <v/>
      </c>
      <c r="F347" s="51">
        <f>IFERROR(VLOOKUP(D347,'Stock Master'!$A$2:$L$49,5,FALSE),"")</f>
        <v/>
      </c>
      <c r="G347" s="51" t="n"/>
      <c r="H347" s="51" t="n"/>
      <c r="I347" s="51">
        <f>IFERROR(G347+H347,0)</f>
        <v/>
      </c>
      <c r="J347" s="51">
        <f>IFERROR(F347*G347,0)</f>
        <v/>
      </c>
      <c r="K347" s="51">
        <f>IFERROR(F347*H347,0)</f>
        <v/>
      </c>
      <c r="L347" s="49" t="n"/>
      <c r="M347" s="49" t="n"/>
    </row>
    <row r="348">
      <c r="A348" s="52" t="n"/>
      <c r="B348" s="49" t="n"/>
      <c r="C348" s="49" t="n"/>
      <c r="D348" s="49" t="n"/>
      <c r="E348" s="49">
        <f>IFERROR(VLOOKUP(D348,'Stock Master'!$A$2:$L$49,2,FALSE),"")</f>
        <v/>
      </c>
      <c r="F348" s="51">
        <f>IFERROR(VLOOKUP(D348,'Stock Master'!$A$2:$L$49,5,FALSE),"")</f>
        <v/>
      </c>
      <c r="G348" s="51" t="n"/>
      <c r="H348" s="51" t="n"/>
      <c r="I348" s="51">
        <f>IFERROR(G348+H348,0)</f>
        <v/>
      </c>
      <c r="J348" s="51">
        <f>IFERROR(F348*G348,0)</f>
        <v/>
      </c>
      <c r="K348" s="51">
        <f>IFERROR(F348*H348,0)</f>
        <v/>
      </c>
      <c r="L348" s="49" t="n"/>
      <c r="M348" s="49" t="n"/>
    </row>
    <row r="349">
      <c r="A349" s="52" t="n"/>
      <c r="B349" s="49" t="n"/>
      <c r="C349" s="49" t="n"/>
      <c r="D349" s="49" t="n"/>
      <c r="E349" s="49">
        <f>IFERROR(VLOOKUP(D349,'Stock Master'!$A$2:$L$49,2,FALSE),"")</f>
        <v/>
      </c>
      <c r="F349" s="51">
        <f>IFERROR(VLOOKUP(D349,'Stock Master'!$A$2:$L$49,5,FALSE),"")</f>
        <v/>
      </c>
      <c r="G349" s="51" t="n"/>
      <c r="H349" s="51" t="n"/>
      <c r="I349" s="51">
        <f>IFERROR(G349+H349,0)</f>
        <v/>
      </c>
      <c r="J349" s="51">
        <f>IFERROR(F349*G349,0)</f>
        <v/>
      </c>
      <c r="K349" s="51">
        <f>IFERROR(F349*H349,0)</f>
        <v/>
      </c>
      <c r="L349" s="49" t="n"/>
      <c r="M349" s="49" t="n"/>
    </row>
    <row r="350">
      <c r="A350" s="52" t="n"/>
      <c r="B350" s="49" t="n"/>
      <c r="C350" s="49" t="n"/>
      <c r="D350" s="49" t="n"/>
      <c r="E350" s="49">
        <f>IFERROR(VLOOKUP(D350,'Stock Master'!$A$2:$L$49,2,FALSE),"")</f>
        <v/>
      </c>
      <c r="F350" s="51">
        <f>IFERROR(VLOOKUP(D350,'Stock Master'!$A$2:$L$49,5,FALSE),"")</f>
        <v/>
      </c>
      <c r="G350" s="51" t="n"/>
      <c r="H350" s="51" t="n"/>
      <c r="I350" s="51">
        <f>IFERROR(G350+H350,0)</f>
        <v/>
      </c>
      <c r="J350" s="51">
        <f>IFERROR(F350*G350,0)</f>
        <v/>
      </c>
      <c r="K350" s="51">
        <f>IFERROR(F350*H350,0)</f>
        <v/>
      </c>
      <c r="L350" s="49" t="n"/>
      <c r="M350" s="49" t="n"/>
    </row>
    <row r="351">
      <c r="A351" s="52" t="n"/>
      <c r="B351" s="49" t="n"/>
      <c r="C351" s="49" t="n"/>
      <c r="D351" s="49" t="n"/>
      <c r="E351" s="49">
        <f>IFERROR(VLOOKUP(D351,'Stock Master'!$A$2:$L$49,2,FALSE),"")</f>
        <v/>
      </c>
      <c r="F351" s="51">
        <f>IFERROR(VLOOKUP(D351,'Stock Master'!$A$2:$L$49,5,FALSE),"")</f>
        <v/>
      </c>
      <c r="G351" s="51" t="n"/>
      <c r="H351" s="51" t="n"/>
      <c r="I351" s="51">
        <f>IFERROR(G351+H351,0)</f>
        <v/>
      </c>
      <c r="J351" s="51">
        <f>IFERROR(F351*G351,0)</f>
        <v/>
      </c>
      <c r="K351" s="51">
        <f>IFERROR(F351*H351,0)</f>
        <v/>
      </c>
      <c r="L351" s="49" t="n"/>
      <c r="M351" s="49" t="n"/>
    </row>
    <row r="352">
      <c r="A352" s="52" t="n"/>
      <c r="B352" s="49" t="n"/>
      <c r="C352" s="49" t="n"/>
      <c r="D352" s="49" t="n"/>
      <c r="E352" s="49">
        <f>IFERROR(VLOOKUP(D352,'Stock Master'!$A$2:$L$49,2,FALSE),"")</f>
        <v/>
      </c>
      <c r="F352" s="51">
        <f>IFERROR(VLOOKUP(D352,'Stock Master'!$A$2:$L$49,5,FALSE),"")</f>
        <v/>
      </c>
      <c r="G352" s="51" t="n"/>
      <c r="H352" s="51" t="n"/>
      <c r="I352" s="51">
        <f>IFERROR(G352+H352,0)</f>
        <v/>
      </c>
      <c r="J352" s="51">
        <f>IFERROR(F352*G352,0)</f>
        <v/>
      </c>
      <c r="K352" s="51">
        <f>IFERROR(F352*H352,0)</f>
        <v/>
      </c>
      <c r="L352" s="49" t="n"/>
      <c r="M352" s="49" t="n"/>
    </row>
    <row r="353">
      <c r="A353" s="52" t="n"/>
      <c r="B353" s="49" t="n"/>
      <c r="C353" s="49" t="n"/>
      <c r="D353" s="49" t="n"/>
      <c r="E353" s="49">
        <f>IFERROR(VLOOKUP(D353,'Stock Master'!$A$2:$L$49,2,FALSE),"")</f>
        <v/>
      </c>
      <c r="F353" s="51">
        <f>IFERROR(VLOOKUP(D353,'Stock Master'!$A$2:$L$49,5,FALSE),"")</f>
        <v/>
      </c>
      <c r="G353" s="51" t="n"/>
      <c r="H353" s="51" t="n"/>
      <c r="I353" s="51">
        <f>IFERROR(G353+H353,0)</f>
        <v/>
      </c>
      <c r="J353" s="51">
        <f>IFERROR(F353*G353,0)</f>
        <v/>
      </c>
      <c r="K353" s="51">
        <f>IFERROR(F353*H353,0)</f>
        <v/>
      </c>
      <c r="L353" s="49" t="n"/>
      <c r="M353" s="49" t="n"/>
    </row>
    <row r="354">
      <c r="A354" s="52" t="n"/>
      <c r="B354" s="49" t="n"/>
      <c r="C354" s="49" t="n"/>
      <c r="D354" s="49" t="n"/>
      <c r="E354" s="49">
        <f>IFERROR(VLOOKUP(D354,'Stock Master'!$A$2:$L$49,2,FALSE),"")</f>
        <v/>
      </c>
      <c r="F354" s="51">
        <f>IFERROR(VLOOKUP(D354,'Stock Master'!$A$2:$L$49,5,FALSE),"")</f>
        <v/>
      </c>
      <c r="G354" s="51" t="n"/>
      <c r="H354" s="51" t="n"/>
      <c r="I354" s="51">
        <f>IFERROR(G354+H354,0)</f>
        <v/>
      </c>
      <c r="J354" s="51">
        <f>IFERROR(F354*G354,0)</f>
        <v/>
      </c>
      <c r="K354" s="51">
        <f>IFERROR(F354*H354,0)</f>
        <v/>
      </c>
      <c r="L354" s="49" t="n"/>
      <c r="M354" s="49" t="n"/>
    </row>
    <row r="355">
      <c r="A355" s="52" t="n"/>
      <c r="B355" s="49" t="n"/>
      <c r="C355" s="49" t="n"/>
      <c r="D355" s="49" t="n"/>
      <c r="E355" s="49">
        <f>IFERROR(VLOOKUP(D355,'Stock Master'!$A$2:$L$49,2,FALSE),"")</f>
        <v/>
      </c>
      <c r="F355" s="51">
        <f>IFERROR(VLOOKUP(D355,'Stock Master'!$A$2:$L$49,5,FALSE),"")</f>
        <v/>
      </c>
      <c r="G355" s="51" t="n"/>
      <c r="H355" s="51" t="n"/>
      <c r="I355" s="51">
        <f>IFERROR(G355+H355,0)</f>
        <v/>
      </c>
      <c r="J355" s="51">
        <f>IFERROR(F355*G355,0)</f>
        <v/>
      </c>
      <c r="K355" s="51">
        <f>IFERROR(F355*H355,0)</f>
        <v/>
      </c>
      <c r="L355" s="49" t="n"/>
      <c r="M355" s="49" t="n"/>
    </row>
    <row r="356">
      <c r="A356" s="52" t="n"/>
      <c r="B356" s="49" t="n"/>
      <c r="C356" s="49" t="n"/>
      <c r="D356" s="49" t="n"/>
      <c r="E356" s="49">
        <f>IFERROR(VLOOKUP(D356,'Stock Master'!$A$2:$L$49,2,FALSE),"")</f>
        <v/>
      </c>
      <c r="F356" s="51">
        <f>IFERROR(VLOOKUP(D356,'Stock Master'!$A$2:$L$49,5,FALSE),"")</f>
        <v/>
      </c>
      <c r="G356" s="51" t="n"/>
      <c r="H356" s="51" t="n"/>
      <c r="I356" s="51">
        <f>IFERROR(G356+H356,0)</f>
        <v/>
      </c>
      <c r="J356" s="51">
        <f>IFERROR(F356*G356,0)</f>
        <v/>
      </c>
      <c r="K356" s="51">
        <f>IFERROR(F356*H356,0)</f>
        <v/>
      </c>
      <c r="L356" s="49" t="n"/>
      <c r="M356" s="49" t="n"/>
    </row>
    <row r="357">
      <c r="A357" s="52" t="n"/>
      <c r="B357" s="49" t="n"/>
      <c r="C357" s="49" t="n"/>
      <c r="D357" s="49" t="n"/>
      <c r="E357" s="49">
        <f>IFERROR(VLOOKUP(D357,'Stock Master'!$A$2:$L$49,2,FALSE),"")</f>
        <v/>
      </c>
      <c r="F357" s="51">
        <f>IFERROR(VLOOKUP(D357,'Stock Master'!$A$2:$L$49,5,FALSE),"")</f>
        <v/>
      </c>
      <c r="G357" s="51" t="n"/>
      <c r="H357" s="51" t="n"/>
      <c r="I357" s="51">
        <f>IFERROR(G357+H357,0)</f>
        <v/>
      </c>
      <c r="J357" s="51">
        <f>IFERROR(F357*G357,0)</f>
        <v/>
      </c>
      <c r="K357" s="51">
        <f>IFERROR(F357*H357,0)</f>
        <v/>
      </c>
      <c r="L357" s="49" t="n"/>
      <c r="M357" s="49" t="n"/>
    </row>
    <row r="358">
      <c r="A358" s="52" t="n"/>
      <c r="B358" s="49" t="n"/>
      <c r="C358" s="49" t="n"/>
      <c r="D358" s="49" t="n"/>
      <c r="E358" s="49">
        <f>IFERROR(VLOOKUP(D358,'Stock Master'!$A$2:$L$49,2,FALSE),"")</f>
        <v/>
      </c>
      <c r="F358" s="51">
        <f>IFERROR(VLOOKUP(D358,'Stock Master'!$A$2:$L$49,5,FALSE),"")</f>
        <v/>
      </c>
      <c r="G358" s="51" t="n"/>
      <c r="H358" s="51" t="n"/>
      <c r="I358" s="51">
        <f>IFERROR(G358+H358,0)</f>
        <v/>
      </c>
      <c r="J358" s="51">
        <f>IFERROR(F358*G358,0)</f>
        <v/>
      </c>
      <c r="K358" s="51">
        <f>IFERROR(F358*H358,0)</f>
        <v/>
      </c>
      <c r="L358" s="49" t="n"/>
      <c r="M358" s="49" t="n"/>
    </row>
    <row r="359">
      <c r="A359" s="52" t="n"/>
      <c r="B359" s="49" t="n"/>
      <c r="C359" s="49" t="n"/>
      <c r="D359" s="49" t="n"/>
      <c r="E359" s="49">
        <f>IFERROR(VLOOKUP(D359,'Stock Master'!$A$2:$L$49,2,FALSE),"")</f>
        <v/>
      </c>
      <c r="F359" s="51">
        <f>IFERROR(VLOOKUP(D359,'Stock Master'!$A$2:$L$49,5,FALSE),"")</f>
        <v/>
      </c>
      <c r="G359" s="51" t="n"/>
      <c r="H359" s="51" t="n"/>
      <c r="I359" s="51">
        <f>IFERROR(G359+H359,0)</f>
        <v/>
      </c>
      <c r="J359" s="51">
        <f>IFERROR(F359*G359,0)</f>
        <v/>
      </c>
      <c r="K359" s="51">
        <f>IFERROR(F359*H359,0)</f>
        <v/>
      </c>
      <c r="L359" s="49" t="n"/>
      <c r="M359" s="49" t="n"/>
    </row>
    <row r="360">
      <c r="A360" s="52" t="n"/>
      <c r="B360" s="49" t="n"/>
      <c r="C360" s="49" t="n"/>
      <c r="D360" s="49" t="n"/>
      <c r="E360" s="49">
        <f>IFERROR(VLOOKUP(D360,'Stock Master'!$A$2:$L$49,2,FALSE),"")</f>
        <v/>
      </c>
      <c r="F360" s="51">
        <f>IFERROR(VLOOKUP(D360,'Stock Master'!$A$2:$L$49,5,FALSE),"")</f>
        <v/>
      </c>
      <c r="G360" s="51" t="n"/>
      <c r="H360" s="51" t="n"/>
      <c r="I360" s="51">
        <f>IFERROR(G360+H360,0)</f>
        <v/>
      </c>
      <c r="J360" s="51">
        <f>IFERROR(F360*G360,0)</f>
        <v/>
      </c>
      <c r="K360" s="51">
        <f>IFERROR(F360*H360,0)</f>
        <v/>
      </c>
      <c r="L360" s="49" t="n"/>
      <c r="M360" s="49" t="n"/>
    </row>
    <row r="361">
      <c r="A361" s="52" t="n"/>
      <c r="B361" s="49" t="n"/>
      <c r="C361" s="49" t="n"/>
      <c r="D361" s="49" t="n"/>
      <c r="E361" s="49">
        <f>IFERROR(VLOOKUP(D361,'Stock Master'!$A$2:$L$49,2,FALSE),"")</f>
        <v/>
      </c>
      <c r="F361" s="51">
        <f>IFERROR(VLOOKUP(D361,'Stock Master'!$A$2:$L$49,5,FALSE),"")</f>
        <v/>
      </c>
      <c r="G361" s="51" t="n"/>
      <c r="H361" s="51" t="n"/>
      <c r="I361" s="51">
        <f>IFERROR(G361+H361,0)</f>
        <v/>
      </c>
      <c r="J361" s="51">
        <f>IFERROR(F361*G361,0)</f>
        <v/>
      </c>
      <c r="K361" s="51">
        <f>IFERROR(F361*H361,0)</f>
        <v/>
      </c>
      <c r="L361" s="49" t="n"/>
      <c r="M361" s="49" t="n"/>
    </row>
    <row r="362">
      <c r="A362" s="52" t="n"/>
      <c r="B362" s="49" t="n"/>
      <c r="C362" s="49" t="n"/>
      <c r="D362" s="49" t="n"/>
      <c r="E362" s="49">
        <f>IFERROR(VLOOKUP(D362,'Stock Master'!$A$2:$L$49,2,FALSE),"")</f>
        <v/>
      </c>
      <c r="F362" s="51">
        <f>IFERROR(VLOOKUP(D362,'Stock Master'!$A$2:$L$49,5,FALSE),"")</f>
        <v/>
      </c>
      <c r="G362" s="51" t="n"/>
      <c r="H362" s="51" t="n"/>
      <c r="I362" s="51">
        <f>IFERROR(G362+H362,0)</f>
        <v/>
      </c>
      <c r="J362" s="51">
        <f>IFERROR(F362*G362,0)</f>
        <v/>
      </c>
      <c r="K362" s="51">
        <f>IFERROR(F362*H362,0)</f>
        <v/>
      </c>
      <c r="L362" s="49" t="n"/>
      <c r="M362" s="49" t="n"/>
    </row>
    <row r="363">
      <c r="A363" s="52" t="n"/>
      <c r="B363" s="49" t="n"/>
      <c r="C363" s="49" t="n"/>
      <c r="D363" s="49" t="n"/>
      <c r="E363" s="49">
        <f>IFERROR(VLOOKUP(D363,'Stock Master'!$A$2:$L$49,2,FALSE),"")</f>
        <v/>
      </c>
      <c r="F363" s="51">
        <f>IFERROR(VLOOKUP(D363,'Stock Master'!$A$2:$L$49,5,FALSE),"")</f>
        <v/>
      </c>
      <c r="G363" s="51" t="n"/>
      <c r="H363" s="51" t="n"/>
      <c r="I363" s="51">
        <f>IFERROR(G363+H363,0)</f>
        <v/>
      </c>
      <c r="J363" s="51">
        <f>IFERROR(F363*G363,0)</f>
        <v/>
      </c>
      <c r="K363" s="51">
        <f>IFERROR(F363*H363,0)</f>
        <v/>
      </c>
      <c r="L363" s="49" t="n"/>
      <c r="M363" s="49" t="n"/>
    </row>
    <row r="364">
      <c r="A364" s="52" t="n"/>
      <c r="B364" s="49" t="n"/>
      <c r="C364" s="49" t="n"/>
      <c r="D364" s="49" t="n"/>
      <c r="E364" s="49">
        <f>IFERROR(VLOOKUP(D364,'Stock Master'!$A$2:$L$49,2,FALSE),"")</f>
        <v/>
      </c>
      <c r="F364" s="51">
        <f>IFERROR(VLOOKUP(D364,'Stock Master'!$A$2:$L$49,5,FALSE),"")</f>
        <v/>
      </c>
      <c r="G364" s="51" t="n"/>
      <c r="H364" s="51" t="n"/>
      <c r="I364" s="51">
        <f>IFERROR(G364+H364,0)</f>
        <v/>
      </c>
      <c r="J364" s="51">
        <f>IFERROR(F364*G364,0)</f>
        <v/>
      </c>
      <c r="K364" s="51">
        <f>IFERROR(F364*H364,0)</f>
        <v/>
      </c>
      <c r="L364" s="49" t="n"/>
      <c r="M364" s="49" t="n"/>
    </row>
    <row r="365">
      <c r="A365" s="52" t="n"/>
      <c r="B365" s="49" t="n"/>
      <c r="C365" s="49" t="n"/>
      <c r="D365" s="49" t="n"/>
      <c r="E365" s="49">
        <f>IFERROR(VLOOKUP(D365,'Stock Master'!$A$2:$L$49,2,FALSE),"")</f>
        <v/>
      </c>
      <c r="F365" s="51">
        <f>IFERROR(VLOOKUP(D365,'Stock Master'!$A$2:$L$49,5,FALSE),"")</f>
        <v/>
      </c>
      <c r="G365" s="51" t="n"/>
      <c r="H365" s="51" t="n"/>
      <c r="I365" s="51">
        <f>IFERROR(G365+H365,0)</f>
        <v/>
      </c>
      <c r="J365" s="51">
        <f>IFERROR(F365*G365,0)</f>
        <v/>
      </c>
      <c r="K365" s="51">
        <f>IFERROR(F365*H365,0)</f>
        <v/>
      </c>
      <c r="L365" s="49" t="n"/>
      <c r="M365" s="49" t="n"/>
    </row>
    <row r="366">
      <c r="A366" s="52" t="n"/>
      <c r="B366" s="49" t="n"/>
      <c r="C366" s="49" t="n"/>
      <c r="D366" s="49" t="n"/>
      <c r="E366" s="49">
        <f>IFERROR(VLOOKUP(D366,'Stock Master'!$A$2:$L$49,2,FALSE),"")</f>
        <v/>
      </c>
      <c r="F366" s="51">
        <f>IFERROR(VLOOKUP(D366,'Stock Master'!$A$2:$L$49,5,FALSE),"")</f>
        <v/>
      </c>
      <c r="G366" s="51" t="n"/>
      <c r="H366" s="51" t="n"/>
      <c r="I366" s="51">
        <f>IFERROR(G366+H366,0)</f>
        <v/>
      </c>
      <c r="J366" s="51">
        <f>IFERROR(F366*G366,0)</f>
        <v/>
      </c>
      <c r="K366" s="51">
        <f>IFERROR(F366*H366,0)</f>
        <v/>
      </c>
      <c r="L366" s="49" t="n"/>
      <c r="M366" s="49" t="n"/>
    </row>
    <row r="367">
      <c r="A367" s="52" t="n"/>
      <c r="B367" s="49" t="n"/>
      <c r="C367" s="49" t="n"/>
      <c r="D367" s="49" t="n"/>
      <c r="E367" s="49">
        <f>IFERROR(VLOOKUP(D367,'Stock Master'!$A$2:$L$49,2,FALSE),"")</f>
        <v/>
      </c>
      <c r="F367" s="51">
        <f>IFERROR(VLOOKUP(D367,'Stock Master'!$A$2:$L$49,5,FALSE),"")</f>
        <v/>
      </c>
      <c r="G367" s="51" t="n"/>
      <c r="H367" s="51" t="n"/>
      <c r="I367" s="51">
        <f>IFERROR(G367+H367,0)</f>
        <v/>
      </c>
      <c r="J367" s="51">
        <f>IFERROR(F367*G367,0)</f>
        <v/>
      </c>
      <c r="K367" s="51">
        <f>IFERROR(F367*H367,0)</f>
        <v/>
      </c>
      <c r="L367" s="49" t="n"/>
      <c r="M367" s="49" t="n"/>
    </row>
    <row r="368">
      <c r="A368" s="52" t="n"/>
      <c r="B368" s="49" t="n"/>
      <c r="C368" s="49" t="n"/>
      <c r="D368" s="49" t="n"/>
      <c r="E368" s="49">
        <f>IFERROR(VLOOKUP(D368,'Stock Master'!$A$2:$L$49,2,FALSE),"")</f>
        <v/>
      </c>
      <c r="F368" s="51">
        <f>IFERROR(VLOOKUP(D368,'Stock Master'!$A$2:$L$49,5,FALSE),"")</f>
        <v/>
      </c>
      <c r="G368" s="51" t="n"/>
      <c r="H368" s="51" t="n"/>
      <c r="I368" s="51">
        <f>IFERROR(G368+H368,0)</f>
        <v/>
      </c>
      <c r="J368" s="51">
        <f>IFERROR(F368*G368,0)</f>
        <v/>
      </c>
      <c r="K368" s="51">
        <f>IFERROR(F368*H368,0)</f>
        <v/>
      </c>
      <c r="L368" s="49" t="n"/>
      <c r="M368" s="49" t="n"/>
    </row>
    <row r="369">
      <c r="A369" s="52" t="n"/>
      <c r="B369" s="49" t="n"/>
      <c r="C369" s="49" t="n"/>
      <c r="D369" s="49" t="n"/>
      <c r="E369" s="49">
        <f>IFERROR(VLOOKUP(D369,'Stock Master'!$A$2:$L$49,2,FALSE),"")</f>
        <v/>
      </c>
      <c r="F369" s="51">
        <f>IFERROR(VLOOKUP(D369,'Stock Master'!$A$2:$L$49,5,FALSE),"")</f>
        <v/>
      </c>
      <c r="G369" s="51" t="n"/>
      <c r="H369" s="51" t="n"/>
      <c r="I369" s="51">
        <f>IFERROR(G369+H369,0)</f>
        <v/>
      </c>
      <c r="J369" s="51">
        <f>IFERROR(F369*G369,0)</f>
        <v/>
      </c>
      <c r="K369" s="51">
        <f>IFERROR(F369*H369,0)</f>
        <v/>
      </c>
      <c r="L369" s="49" t="n"/>
      <c r="M369" s="49" t="n"/>
    </row>
    <row r="370">
      <c r="A370" s="52" t="n"/>
      <c r="B370" s="49" t="n"/>
      <c r="C370" s="49" t="n"/>
      <c r="D370" s="49" t="n"/>
      <c r="E370" s="49">
        <f>IFERROR(VLOOKUP(D370,'Stock Master'!$A$2:$L$49,2,FALSE),"")</f>
        <v/>
      </c>
      <c r="F370" s="51">
        <f>IFERROR(VLOOKUP(D370,'Stock Master'!$A$2:$L$49,5,FALSE),"")</f>
        <v/>
      </c>
      <c r="G370" s="51" t="n"/>
      <c r="H370" s="51" t="n"/>
      <c r="I370" s="51">
        <f>IFERROR(G370+H370,0)</f>
        <v/>
      </c>
      <c r="J370" s="51">
        <f>IFERROR(F370*G370,0)</f>
        <v/>
      </c>
      <c r="K370" s="51">
        <f>IFERROR(F370*H370,0)</f>
        <v/>
      </c>
      <c r="L370" s="49" t="n"/>
      <c r="M370" s="49" t="n"/>
    </row>
    <row r="371">
      <c r="A371" s="52" t="n"/>
      <c r="B371" s="49" t="n"/>
      <c r="C371" s="49" t="n"/>
      <c r="D371" s="49" t="n"/>
      <c r="E371" s="49">
        <f>IFERROR(VLOOKUP(D371,'Stock Master'!$A$2:$L$49,2,FALSE),"")</f>
        <v/>
      </c>
      <c r="F371" s="51">
        <f>IFERROR(VLOOKUP(D371,'Stock Master'!$A$2:$L$49,5,FALSE),"")</f>
        <v/>
      </c>
      <c r="G371" s="51" t="n"/>
      <c r="H371" s="51" t="n"/>
      <c r="I371" s="51">
        <f>IFERROR(G371+H371,0)</f>
        <v/>
      </c>
      <c r="J371" s="51">
        <f>IFERROR(F371*G371,0)</f>
        <v/>
      </c>
      <c r="K371" s="51">
        <f>IFERROR(F371*H371,0)</f>
        <v/>
      </c>
      <c r="L371" s="49" t="n"/>
      <c r="M371" s="49" t="n"/>
    </row>
    <row r="372">
      <c r="A372" s="52" t="n"/>
      <c r="B372" s="49" t="n"/>
      <c r="C372" s="49" t="n"/>
      <c r="D372" s="49" t="n"/>
      <c r="E372" s="49">
        <f>IFERROR(VLOOKUP(D372,'Stock Master'!$A$2:$L$49,2,FALSE),"")</f>
        <v/>
      </c>
      <c r="F372" s="51">
        <f>IFERROR(VLOOKUP(D372,'Stock Master'!$A$2:$L$49,5,FALSE),"")</f>
        <v/>
      </c>
      <c r="G372" s="51" t="n"/>
      <c r="H372" s="51" t="n"/>
      <c r="I372" s="51">
        <f>IFERROR(G372+H372,0)</f>
        <v/>
      </c>
      <c r="J372" s="51">
        <f>IFERROR(F372*G372,0)</f>
        <v/>
      </c>
      <c r="K372" s="51">
        <f>IFERROR(F372*H372,0)</f>
        <v/>
      </c>
      <c r="L372" s="49" t="n"/>
      <c r="M372" s="49" t="n"/>
    </row>
    <row r="373">
      <c r="A373" s="52" t="n"/>
      <c r="B373" s="49" t="n"/>
      <c r="C373" s="49" t="n"/>
      <c r="D373" s="49" t="n"/>
      <c r="E373" s="49">
        <f>IFERROR(VLOOKUP(D373,'Stock Master'!$A$2:$L$49,2,FALSE),"")</f>
        <v/>
      </c>
      <c r="F373" s="51">
        <f>IFERROR(VLOOKUP(D373,'Stock Master'!$A$2:$L$49,5,FALSE),"")</f>
        <v/>
      </c>
      <c r="G373" s="51" t="n"/>
      <c r="H373" s="51" t="n"/>
      <c r="I373" s="51">
        <f>IFERROR(G373+H373,0)</f>
        <v/>
      </c>
      <c r="J373" s="51">
        <f>IFERROR(F373*G373,0)</f>
        <v/>
      </c>
      <c r="K373" s="51">
        <f>IFERROR(F373*H373,0)</f>
        <v/>
      </c>
      <c r="L373" s="49" t="n"/>
      <c r="M373" s="49" t="n"/>
    </row>
    <row r="374">
      <c r="A374" s="52" t="n"/>
      <c r="B374" s="49" t="n"/>
      <c r="C374" s="49" t="n"/>
      <c r="D374" s="49" t="n"/>
      <c r="E374" s="49">
        <f>IFERROR(VLOOKUP(D374,'Stock Master'!$A$2:$L$49,2,FALSE),"")</f>
        <v/>
      </c>
      <c r="F374" s="51">
        <f>IFERROR(VLOOKUP(D374,'Stock Master'!$A$2:$L$49,5,FALSE),"")</f>
        <v/>
      </c>
      <c r="G374" s="51" t="n"/>
      <c r="H374" s="51" t="n"/>
      <c r="I374" s="51">
        <f>IFERROR(G374+H374,0)</f>
        <v/>
      </c>
      <c r="J374" s="51">
        <f>IFERROR(F374*G374,0)</f>
        <v/>
      </c>
      <c r="K374" s="51">
        <f>IFERROR(F374*H374,0)</f>
        <v/>
      </c>
      <c r="L374" s="49" t="n"/>
      <c r="M374" s="49" t="n"/>
    </row>
    <row r="375">
      <c r="A375" s="52" t="n"/>
      <c r="B375" s="49" t="n"/>
      <c r="C375" s="49" t="n"/>
      <c r="D375" s="49" t="n"/>
      <c r="E375" s="49">
        <f>IFERROR(VLOOKUP(D375,'Stock Master'!$A$2:$L$49,2,FALSE),"")</f>
        <v/>
      </c>
      <c r="F375" s="51">
        <f>IFERROR(VLOOKUP(D375,'Stock Master'!$A$2:$L$49,5,FALSE),"")</f>
        <v/>
      </c>
      <c r="G375" s="51" t="n"/>
      <c r="H375" s="51" t="n"/>
      <c r="I375" s="51">
        <f>IFERROR(G375+H375,0)</f>
        <v/>
      </c>
      <c r="J375" s="51">
        <f>IFERROR(F375*G375,0)</f>
        <v/>
      </c>
      <c r="K375" s="51">
        <f>IFERROR(F375*H375,0)</f>
        <v/>
      </c>
      <c r="L375" s="49" t="n"/>
      <c r="M375" s="49" t="n"/>
    </row>
    <row r="376">
      <c r="A376" s="52" t="n"/>
      <c r="B376" s="49" t="n"/>
      <c r="C376" s="49" t="n"/>
      <c r="D376" s="49" t="n"/>
      <c r="E376" s="49">
        <f>IFERROR(VLOOKUP(D376,'Stock Master'!$A$2:$L$49,2,FALSE),"")</f>
        <v/>
      </c>
      <c r="F376" s="51">
        <f>IFERROR(VLOOKUP(D376,'Stock Master'!$A$2:$L$49,5,FALSE),"")</f>
        <v/>
      </c>
      <c r="G376" s="51" t="n"/>
      <c r="H376" s="51" t="n"/>
      <c r="I376" s="51">
        <f>IFERROR(G376+H376,0)</f>
        <v/>
      </c>
      <c r="J376" s="51">
        <f>IFERROR(F376*G376,0)</f>
        <v/>
      </c>
      <c r="K376" s="51">
        <f>IFERROR(F376*H376,0)</f>
        <v/>
      </c>
      <c r="L376" s="49" t="n"/>
      <c r="M376" s="49" t="n"/>
    </row>
    <row r="377">
      <c r="A377" s="52" t="n"/>
      <c r="B377" s="49" t="n"/>
      <c r="C377" s="49" t="n"/>
      <c r="D377" s="49" t="n"/>
      <c r="E377" s="49">
        <f>IFERROR(VLOOKUP(D377,'Stock Master'!$A$2:$L$49,2,FALSE),"")</f>
        <v/>
      </c>
      <c r="F377" s="51">
        <f>IFERROR(VLOOKUP(D377,'Stock Master'!$A$2:$L$49,5,FALSE),"")</f>
        <v/>
      </c>
      <c r="G377" s="51" t="n"/>
      <c r="H377" s="51" t="n"/>
      <c r="I377" s="51">
        <f>IFERROR(G377+H377,0)</f>
        <v/>
      </c>
      <c r="J377" s="51">
        <f>IFERROR(F377*G377,0)</f>
        <v/>
      </c>
      <c r="K377" s="51">
        <f>IFERROR(F377*H377,0)</f>
        <v/>
      </c>
      <c r="L377" s="49" t="n"/>
      <c r="M377" s="49" t="n"/>
    </row>
    <row r="378">
      <c r="A378" s="52" t="n"/>
      <c r="B378" s="49" t="n"/>
      <c r="C378" s="49" t="n"/>
      <c r="D378" s="49" t="n"/>
      <c r="E378" s="49">
        <f>IFERROR(VLOOKUP(D378,'Stock Master'!$A$2:$L$49,2,FALSE),"")</f>
        <v/>
      </c>
      <c r="F378" s="51">
        <f>IFERROR(VLOOKUP(D378,'Stock Master'!$A$2:$L$49,5,FALSE),"")</f>
        <v/>
      </c>
      <c r="G378" s="51" t="n"/>
      <c r="H378" s="51" t="n"/>
      <c r="I378" s="51">
        <f>IFERROR(G378+H378,0)</f>
        <v/>
      </c>
      <c r="J378" s="51">
        <f>IFERROR(F378*G378,0)</f>
        <v/>
      </c>
      <c r="K378" s="51">
        <f>IFERROR(F378*H378,0)</f>
        <v/>
      </c>
      <c r="L378" s="49" t="n"/>
      <c r="M378" s="49" t="n"/>
    </row>
    <row r="379">
      <c r="A379" s="52" t="n"/>
      <c r="B379" s="49" t="n"/>
      <c r="C379" s="49" t="n"/>
      <c r="D379" s="49" t="n"/>
      <c r="E379" s="49">
        <f>IFERROR(VLOOKUP(D379,'Stock Master'!$A$2:$L$49,2,FALSE),"")</f>
        <v/>
      </c>
      <c r="F379" s="51">
        <f>IFERROR(VLOOKUP(D379,'Stock Master'!$A$2:$L$49,5,FALSE),"")</f>
        <v/>
      </c>
      <c r="G379" s="51" t="n"/>
      <c r="H379" s="51" t="n"/>
      <c r="I379" s="51">
        <f>IFERROR(G379+H379,0)</f>
        <v/>
      </c>
      <c r="J379" s="51">
        <f>IFERROR(F379*G379,0)</f>
        <v/>
      </c>
      <c r="K379" s="51">
        <f>IFERROR(F379*H379,0)</f>
        <v/>
      </c>
      <c r="L379" s="49" t="n"/>
      <c r="M379" s="49" t="n"/>
    </row>
    <row r="380">
      <c r="A380" s="52" t="n"/>
      <c r="B380" s="49" t="n"/>
      <c r="C380" s="49" t="n"/>
      <c r="D380" s="49" t="n"/>
      <c r="E380" s="49">
        <f>IFERROR(VLOOKUP(D380,'Stock Master'!$A$2:$L$49,2,FALSE),"")</f>
        <v/>
      </c>
      <c r="F380" s="51">
        <f>IFERROR(VLOOKUP(D380,'Stock Master'!$A$2:$L$49,5,FALSE),"")</f>
        <v/>
      </c>
      <c r="G380" s="51" t="n"/>
      <c r="H380" s="51" t="n"/>
      <c r="I380" s="51">
        <f>IFERROR(G380+H380,0)</f>
        <v/>
      </c>
      <c r="J380" s="51">
        <f>IFERROR(F380*G380,0)</f>
        <v/>
      </c>
      <c r="K380" s="51">
        <f>IFERROR(F380*H380,0)</f>
        <v/>
      </c>
      <c r="L380" s="49" t="n"/>
      <c r="M380" s="49" t="n"/>
    </row>
    <row r="381">
      <c r="A381" s="52" t="n"/>
      <c r="B381" s="49" t="n"/>
      <c r="C381" s="49" t="n"/>
      <c r="D381" s="49" t="n"/>
      <c r="E381" s="49">
        <f>IFERROR(VLOOKUP(D381,'Stock Master'!$A$2:$L$49,2,FALSE),"")</f>
        <v/>
      </c>
      <c r="F381" s="51">
        <f>IFERROR(VLOOKUP(D381,'Stock Master'!$A$2:$L$49,5,FALSE),"")</f>
        <v/>
      </c>
      <c r="G381" s="51" t="n"/>
      <c r="H381" s="51" t="n"/>
      <c r="I381" s="51">
        <f>IFERROR(G381+H381,0)</f>
        <v/>
      </c>
      <c r="J381" s="51">
        <f>IFERROR(F381*G381,0)</f>
        <v/>
      </c>
      <c r="K381" s="51">
        <f>IFERROR(F381*H381,0)</f>
        <v/>
      </c>
      <c r="L381" s="49" t="n"/>
      <c r="M381" s="49" t="n"/>
    </row>
    <row r="382">
      <c r="A382" s="52" t="n"/>
      <c r="B382" s="49" t="n"/>
      <c r="C382" s="49" t="n"/>
      <c r="D382" s="49" t="n"/>
      <c r="E382" s="49">
        <f>IFERROR(VLOOKUP(D382,'Stock Master'!$A$2:$L$49,2,FALSE),"")</f>
        <v/>
      </c>
      <c r="F382" s="51">
        <f>IFERROR(VLOOKUP(D382,'Stock Master'!$A$2:$L$49,5,FALSE),"")</f>
        <v/>
      </c>
      <c r="G382" s="51" t="n"/>
      <c r="H382" s="51" t="n"/>
      <c r="I382" s="51">
        <f>IFERROR(G382+H382,0)</f>
        <v/>
      </c>
      <c r="J382" s="51">
        <f>IFERROR(F382*G382,0)</f>
        <v/>
      </c>
      <c r="K382" s="51">
        <f>IFERROR(F382*H382,0)</f>
        <v/>
      </c>
      <c r="L382" s="49" t="n"/>
      <c r="M382" s="49" t="n"/>
    </row>
    <row r="383">
      <c r="A383" s="52" t="n"/>
      <c r="B383" s="49" t="n"/>
      <c r="C383" s="49" t="n"/>
      <c r="D383" s="49" t="n"/>
      <c r="E383" s="49">
        <f>IFERROR(VLOOKUP(D383,'Stock Master'!$A$2:$L$49,2,FALSE),"")</f>
        <v/>
      </c>
      <c r="F383" s="51">
        <f>IFERROR(VLOOKUP(D383,'Stock Master'!$A$2:$L$49,5,FALSE),"")</f>
        <v/>
      </c>
      <c r="G383" s="51" t="n"/>
      <c r="H383" s="51" t="n"/>
      <c r="I383" s="51">
        <f>IFERROR(G383+H383,0)</f>
        <v/>
      </c>
      <c r="J383" s="51">
        <f>IFERROR(F383*G383,0)</f>
        <v/>
      </c>
      <c r="K383" s="51">
        <f>IFERROR(F383*H383,0)</f>
        <v/>
      </c>
      <c r="L383" s="49" t="n"/>
      <c r="M383" s="49" t="n"/>
    </row>
    <row r="384">
      <c r="A384" s="52" t="n"/>
      <c r="B384" s="49" t="n"/>
      <c r="C384" s="49" t="n"/>
      <c r="D384" s="49" t="n"/>
      <c r="E384" s="49">
        <f>IFERROR(VLOOKUP(D384,'Stock Master'!$A$2:$L$49,2,FALSE),"")</f>
        <v/>
      </c>
      <c r="F384" s="51">
        <f>IFERROR(VLOOKUP(D384,'Stock Master'!$A$2:$L$49,5,FALSE),"")</f>
        <v/>
      </c>
      <c r="G384" s="51" t="n"/>
      <c r="H384" s="51" t="n"/>
      <c r="I384" s="51">
        <f>IFERROR(G384+H384,0)</f>
        <v/>
      </c>
      <c r="J384" s="51">
        <f>IFERROR(F384*G384,0)</f>
        <v/>
      </c>
      <c r="K384" s="51">
        <f>IFERROR(F384*H384,0)</f>
        <v/>
      </c>
      <c r="L384" s="49" t="n"/>
      <c r="M384" s="49" t="n"/>
    </row>
    <row r="385">
      <c r="A385" s="52" t="n"/>
      <c r="B385" s="49" t="n"/>
      <c r="C385" s="49" t="n"/>
      <c r="D385" s="49" t="n"/>
      <c r="E385" s="49">
        <f>IFERROR(VLOOKUP(D385,'Stock Master'!$A$2:$L$49,2,FALSE),"")</f>
        <v/>
      </c>
      <c r="F385" s="51">
        <f>IFERROR(VLOOKUP(D385,'Stock Master'!$A$2:$L$49,5,FALSE),"")</f>
        <v/>
      </c>
      <c r="G385" s="51" t="n"/>
      <c r="H385" s="51" t="n"/>
      <c r="I385" s="51">
        <f>IFERROR(G385+H385,0)</f>
        <v/>
      </c>
      <c r="J385" s="51">
        <f>IFERROR(F385*G385,0)</f>
        <v/>
      </c>
      <c r="K385" s="51">
        <f>IFERROR(F385*H385,0)</f>
        <v/>
      </c>
      <c r="L385" s="49" t="n"/>
      <c r="M385" s="49" t="n"/>
    </row>
    <row r="386">
      <c r="A386" s="52" t="n"/>
      <c r="B386" s="49" t="n"/>
      <c r="C386" s="49" t="n"/>
      <c r="D386" s="49" t="n"/>
      <c r="E386" s="49">
        <f>IFERROR(VLOOKUP(D386,'Stock Master'!$A$2:$L$49,2,FALSE),"")</f>
        <v/>
      </c>
      <c r="F386" s="51">
        <f>IFERROR(VLOOKUP(D386,'Stock Master'!$A$2:$L$49,5,FALSE),"")</f>
        <v/>
      </c>
      <c r="G386" s="51" t="n"/>
      <c r="H386" s="51" t="n"/>
      <c r="I386" s="51">
        <f>IFERROR(G386+H386,0)</f>
        <v/>
      </c>
      <c r="J386" s="51">
        <f>IFERROR(F386*G386,0)</f>
        <v/>
      </c>
      <c r="K386" s="51">
        <f>IFERROR(F386*H386,0)</f>
        <v/>
      </c>
      <c r="L386" s="49" t="n"/>
      <c r="M386" s="49" t="n"/>
    </row>
    <row r="387">
      <c r="A387" s="52" t="n"/>
      <c r="B387" s="49" t="n"/>
      <c r="C387" s="49" t="n"/>
      <c r="D387" s="49" t="n"/>
      <c r="E387" s="49">
        <f>IFERROR(VLOOKUP(D387,'Stock Master'!$A$2:$L$49,2,FALSE),"")</f>
        <v/>
      </c>
      <c r="F387" s="51">
        <f>IFERROR(VLOOKUP(D387,'Stock Master'!$A$2:$L$49,5,FALSE),"")</f>
        <v/>
      </c>
      <c r="G387" s="51" t="n"/>
      <c r="H387" s="51" t="n"/>
      <c r="I387" s="51">
        <f>IFERROR(G387+H387,0)</f>
        <v/>
      </c>
      <c r="J387" s="51">
        <f>IFERROR(F387*G387,0)</f>
        <v/>
      </c>
      <c r="K387" s="51">
        <f>IFERROR(F387*H387,0)</f>
        <v/>
      </c>
      <c r="L387" s="49" t="n"/>
      <c r="M387" s="49" t="n"/>
    </row>
    <row r="388">
      <c r="A388" s="52" t="n"/>
      <c r="B388" s="49" t="n"/>
      <c r="C388" s="49" t="n"/>
      <c r="D388" s="49" t="n"/>
      <c r="E388" s="49">
        <f>IFERROR(VLOOKUP(D388,'Stock Master'!$A$2:$L$49,2,FALSE),"")</f>
        <v/>
      </c>
      <c r="F388" s="51">
        <f>IFERROR(VLOOKUP(D388,'Stock Master'!$A$2:$L$49,5,FALSE),"")</f>
        <v/>
      </c>
      <c r="G388" s="51" t="n"/>
      <c r="H388" s="51" t="n"/>
      <c r="I388" s="51">
        <f>IFERROR(G388+H388,0)</f>
        <v/>
      </c>
      <c r="J388" s="51">
        <f>IFERROR(F388*G388,0)</f>
        <v/>
      </c>
      <c r="K388" s="51">
        <f>IFERROR(F388*H388,0)</f>
        <v/>
      </c>
      <c r="L388" s="49" t="n"/>
      <c r="M388" s="49" t="n"/>
    </row>
    <row r="389">
      <c r="A389" s="52" t="n"/>
      <c r="B389" s="49" t="n"/>
      <c r="C389" s="49" t="n"/>
      <c r="D389" s="49" t="n"/>
      <c r="E389" s="49">
        <f>IFERROR(VLOOKUP(D389,'Stock Master'!$A$2:$L$49,2,FALSE),"")</f>
        <v/>
      </c>
      <c r="F389" s="51">
        <f>IFERROR(VLOOKUP(D389,'Stock Master'!$A$2:$L$49,5,FALSE),"")</f>
        <v/>
      </c>
      <c r="G389" s="51" t="n"/>
      <c r="H389" s="51" t="n"/>
      <c r="I389" s="51">
        <f>IFERROR(G389+H389,0)</f>
        <v/>
      </c>
      <c r="J389" s="51">
        <f>IFERROR(F389*G389,0)</f>
        <v/>
      </c>
      <c r="K389" s="51">
        <f>IFERROR(F389*H389,0)</f>
        <v/>
      </c>
      <c r="L389" s="49" t="n"/>
      <c r="M389" s="49" t="n"/>
    </row>
    <row r="390">
      <c r="A390" s="52" t="n"/>
      <c r="B390" s="49" t="n"/>
      <c r="C390" s="49" t="n"/>
      <c r="D390" s="49" t="n"/>
      <c r="E390" s="49">
        <f>IFERROR(VLOOKUP(D390,'Stock Master'!$A$2:$L$49,2,FALSE),"")</f>
        <v/>
      </c>
      <c r="F390" s="51">
        <f>IFERROR(VLOOKUP(D390,'Stock Master'!$A$2:$L$49,5,FALSE),"")</f>
        <v/>
      </c>
      <c r="G390" s="51" t="n"/>
      <c r="H390" s="51" t="n"/>
      <c r="I390" s="51">
        <f>IFERROR(G390+H390,0)</f>
        <v/>
      </c>
      <c r="J390" s="51">
        <f>IFERROR(F390*G390,0)</f>
        <v/>
      </c>
      <c r="K390" s="51">
        <f>IFERROR(F390*H390,0)</f>
        <v/>
      </c>
      <c r="L390" s="49" t="n"/>
      <c r="M390" s="49" t="n"/>
    </row>
    <row r="391">
      <c r="A391" s="52" t="n"/>
      <c r="B391" s="49" t="n"/>
      <c r="C391" s="49" t="n"/>
      <c r="D391" s="49" t="n"/>
      <c r="E391" s="49">
        <f>IFERROR(VLOOKUP(D391,'Stock Master'!$A$2:$L$49,2,FALSE),"")</f>
        <v/>
      </c>
      <c r="F391" s="51">
        <f>IFERROR(VLOOKUP(D391,'Stock Master'!$A$2:$L$49,5,FALSE),"")</f>
        <v/>
      </c>
      <c r="G391" s="51" t="n"/>
      <c r="H391" s="51" t="n"/>
      <c r="I391" s="51">
        <f>IFERROR(G391+H391,0)</f>
        <v/>
      </c>
      <c r="J391" s="51">
        <f>IFERROR(F391*G391,0)</f>
        <v/>
      </c>
      <c r="K391" s="51">
        <f>IFERROR(F391*H391,0)</f>
        <v/>
      </c>
      <c r="L391" s="49" t="n"/>
      <c r="M391" s="49" t="n"/>
    </row>
    <row r="392">
      <c r="A392" s="52" t="n"/>
      <c r="B392" s="49" t="n"/>
      <c r="C392" s="49" t="n"/>
      <c r="D392" s="49" t="n"/>
      <c r="E392" s="49">
        <f>IFERROR(VLOOKUP(D392,'Stock Master'!$A$2:$L$49,2,FALSE),"")</f>
        <v/>
      </c>
      <c r="F392" s="51">
        <f>IFERROR(VLOOKUP(D392,'Stock Master'!$A$2:$L$49,5,FALSE),"")</f>
        <v/>
      </c>
      <c r="G392" s="51" t="n"/>
      <c r="H392" s="51" t="n"/>
      <c r="I392" s="51">
        <f>IFERROR(G392+H392,0)</f>
        <v/>
      </c>
      <c r="J392" s="51">
        <f>IFERROR(F392*G392,0)</f>
        <v/>
      </c>
      <c r="K392" s="51">
        <f>IFERROR(F392*H392,0)</f>
        <v/>
      </c>
      <c r="L392" s="49" t="n"/>
      <c r="M392" s="49" t="n"/>
    </row>
    <row r="393">
      <c r="A393" s="52" t="n"/>
      <c r="B393" s="49" t="n"/>
      <c r="C393" s="49" t="n"/>
      <c r="D393" s="49" t="n"/>
      <c r="E393" s="49">
        <f>IFERROR(VLOOKUP(D393,'Stock Master'!$A$2:$L$49,2,FALSE),"")</f>
        <v/>
      </c>
      <c r="F393" s="51">
        <f>IFERROR(VLOOKUP(D393,'Stock Master'!$A$2:$L$49,5,FALSE),"")</f>
        <v/>
      </c>
      <c r="G393" s="51" t="n"/>
      <c r="H393" s="51" t="n"/>
      <c r="I393" s="51">
        <f>IFERROR(G393+H393,0)</f>
        <v/>
      </c>
      <c r="J393" s="51">
        <f>IFERROR(F393*G393,0)</f>
        <v/>
      </c>
      <c r="K393" s="51">
        <f>IFERROR(F393*H393,0)</f>
        <v/>
      </c>
      <c r="L393" s="49" t="n"/>
      <c r="M393" s="49" t="n"/>
    </row>
    <row r="394">
      <c r="A394" s="52" t="n"/>
      <c r="B394" s="49" t="n"/>
      <c r="C394" s="49" t="n"/>
      <c r="D394" s="49" t="n"/>
      <c r="E394" s="49">
        <f>IFERROR(VLOOKUP(D394,'Stock Master'!$A$2:$L$49,2,FALSE),"")</f>
        <v/>
      </c>
      <c r="F394" s="51">
        <f>IFERROR(VLOOKUP(D394,'Stock Master'!$A$2:$L$49,5,FALSE),"")</f>
        <v/>
      </c>
      <c r="G394" s="51" t="n"/>
      <c r="H394" s="51" t="n"/>
      <c r="I394" s="51">
        <f>IFERROR(G394+H394,0)</f>
        <v/>
      </c>
      <c r="J394" s="51">
        <f>IFERROR(F394*G394,0)</f>
        <v/>
      </c>
      <c r="K394" s="51">
        <f>IFERROR(F394*H394,0)</f>
        <v/>
      </c>
      <c r="L394" s="49" t="n"/>
      <c r="M394" s="49" t="n"/>
    </row>
    <row r="395">
      <c r="A395" s="52" t="n"/>
      <c r="B395" s="49" t="n"/>
      <c r="C395" s="49" t="n"/>
      <c r="D395" s="49" t="n"/>
      <c r="E395" s="49">
        <f>IFERROR(VLOOKUP(D395,'Stock Master'!$A$2:$L$49,2,FALSE),"")</f>
        <v/>
      </c>
      <c r="F395" s="51">
        <f>IFERROR(VLOOKUP(D395,'Stock Master'!$A$2:$L$49,5,FALSE),"")</f>
        <v/>
      </c>
      <c r="G395" s="51" t="n"/>
      <c r="H395" s="51" t="n"/>
      <c r="I395" s="51">
        <f>IFERROR(G395+H395,0)</f>
        <v/>
      </c>
      <c r="J395" s="51">
        <f>IFERROR(F395*G395,0)</f>
        <v/>
      </c>
      <c r="K395" s="51">
        <f>IFERROR(F395*H395,0)</f>
        <v/>
      </c>
      <c r="L395" s="49" t="n"/>
      <c r="M395" s="49" t="n"/>
    </row>
    <row r="396">
      <c r="A396" s="52" t="n"/>
      <c r="B396" s="49" t="n"/>
      <c r="C396" s="49" t="n"/>
      <c r="D396" s="49" t="n"/>
      <c r="E396" s="49">
        <f>IFERROR(VLOOKUP(D396,'Stock Master'!$A$2:$L$49,2,FALSE),"")</f>
        <v/>
      </c>
      <c r="F396" s="51">
        <f>IFERROR(VLOOKUP(D396,'Stock Master'!$A$2:$L$49,5,FALSE),"")</f>
        <v/>
      </c>
      <c r="G396" s="51" t="n"/>
      <c r="H396" s="51" t="n"/>
      <c r="I396" s="51">
        <f>IFERROR(G396+H396,0)</f>
        <v/>
      </c>
      <c r="J396" s="51">
        <f>IFERROR(F396*G396,0)</f>
        <v/>
      </c>
      <c r="K396" s="51">
        <f>IFERROR(F396*H396,0)</f>
        <v/>
      </c>
      <c r="L396" s="49" t="n"/>
      <c r="M396" s="49" t="n"/>
    </row>
    <row r="397">
      <c r="A397" s="52" t="n"/>
      <c r="B397" s="49" t="n"/>
      <c r="C397" s="49" t="n"/>
      <c r="D397" s="49" t="n"/>
      <c r="E397" s="49">
        <f>IFERROR(VLOOKUP(D397,'Stock Master'!$A$2:$L$49,2,FALSE),"")</f>
        <v/>
      </c>
      <c r="F397" s="51">
        <f>IFERROR(VLOOKUP(D397,'Stock Master'!$A$2:$L$49,5,FALSE),"")</f>
        <v/>
      </c>
      <c r="G397" s="51" t="n"/>
      <c r="H397" s="51" t="n"/>
      <c r="I397" s="51">
        <f>IFERROR(G397+H397,0)</f>
        <v/>
      </c>
      <c r="J397" s="51">
        <f>IFERROR(F397*G397,0)</f>
        <v/>
      </c>
      <c r="K397" s="51">
        <f>IFERROR(F397*H397,0)</f>
        <v/>
      </c>
      <c r="L397" s="49" t="n"/>
      <c r="M397" s="49" t="n"/>
    </row>
    <row r="398">
      <c r="A398" s="52" t="n"/>
      <c r="B398" s="49" t="n"/>
      <c r="C398" s="49" t="n"/>
      <c r="D398" s="49" t="n"/>
      <c r="E398" s="49">
        <f>IFERROR(VLOOKUP(D398,'Stock Master'!$A$2:$L$49,2,FALSE),"")</f>
        <v/>
      </c>
      <c r="F398" s="51">
        <f>IFERROR(VLOOKUP(D398,'Stock Master'!$A$2:$L$49,5,FALSE),"")</f>
        <v/>
      </c>
      <c r="G398" s="51" t="n"/>
      <c r="H398" s="51" t="n"/>
      <c r="I398" s="51">
        <f>IFERROR(G398+H398,0)</f>
        <v/>
      </c>
      <c r="J398" s="51">
        <f>IFERROR(F398*G398,0)</f>
        <v/>
      </c>
      <c r="K398" s="51">
        <f>IFERROR(F398*H398,0)</f>
        <v/>
      </c>
      <c r="L398" s="49" t="n"/>
      <c r="M398" s="49" t="n"/>
    </row>
    <row r="399">
      <c r="A399" s="52" t="n"/>
      <c r="B399" s="49" t="n"/>
      <c r="C399" s="49" t="n"/>
      <c r="D399" s="49" t="n"/>
      <c r="E399" s="49">
        <f>IFERROR(VLOOKUP(D399,'Stock Master'!$A$2:$L$49,2,FALSE),"")</f>
        <v/>
      </c>
      <c r="F399" s="51">
        <f>IFERROR(VLOOKUP(D399,'Stock Master'!$A$2:$L$49,5,FALSE),"")</f>
        <v/>
      </c>
      <c r="G399" s="51" t="n"/>
      <c r="H399" s="51" t="n"/>
      <c r="I399" s="51">
        <f>IFERROR(G399+H399,0)</f>
        <v/>
      </c>
      <c r="J399" s="51">
        <f>IFERROR(F399*G399,0)</f>
        <v/>
      </c>
      <c r="K399" s="51">
        <f>IFERROR(F399*H399,0)</f>
        <v/>
      </c>
      <c r="L399" s="49" t="n"/>
      <c r="M399" s="49" t="n"/>
    </row>
    <row r="400">
      <c r="A400" s="52" t="n"/>
      <c r="B400" s="49" t="n"/>
      <c r="C400" s="49" t="n"/>
      <c r="D400" s="49" t="n"/>
      <c r="E400" s="49">
        <f>IFERROR(VLOOKUP(D400,'Stock Master'!$A$2:$L$49,2,FALSE),"")</f>
        <v/>
      </c>
      <c r="F400" s="51">
        <f>IFERROR(VLOOKUP(D400,'Stock Master'!$A$2:$L$49,5,FALSE),"")</f>
        <v/>
      </c>
      <c r="G400" s="51" t="n"/>
      <c r="H400" s="51" t="n"/>
      <c r="I400" s="51">
        <f>IFERROR(G400+H400,0)</f>
        <v/>
      </c>
      <c r="J400" s="51">
        <f>IFERROR(F400*G400,0)</f>
        <v/>
      </c>
      <c r="K400" s="51">
        <f>IFERROR(F400*H400,0)</f>
        <v/>
      </c>
      <c r="L400" s="49" t="n"/>
      <c r="M400" s="49" t="n"/>
    </row>
    <row r="401">
      <c r="A401" s="52" t="n"/>
      <c r="B401" s="49" t="n"/>
      <c r="C401" s="49" t="n"/>
      <c r="D401" s="49" t="n"/>
      <c r="E401" s="49">
        <f>IFERROR(VLOOKUP(D401,'Stock Master'!$A$2:$L$49,2,FALSE),"")</f>
        <v/>
      </c>
      <c r="F401" s="51">
        <f>IFERROR(VLOOKUP(D401,'Stock Master'!$A$2:$L$49,5,FALSE),"")</f>
        <v/>
      </c>
      <c r="G401" s="51" t="n"/>
      <c r="H401" s="51" t="n"/>
      <c r="I401" s="51">
        <f>IFERROR(G401+H401,0)</f>
        <v/>
      </c>
      <c r="J401" s="51">
        <f>IFERROR(F401*G401,0)</f>
        <v/>
      </c>
      <c r="K401" s="51">
        <f>IFERROR(F401*H401,0)</f>
        <v/>
      </c>
      <c r="L401" s="49" t="n"/>
      <c r="M401" s="49" t="n"/>
    </row>
    <row r="402">
      <c r="A402" s="52" t="n"/>
      <c r="B402" s="49" t="n"/>
      <c r="C402" s="49" t="n"/>
      <c r="D402" s="49" t="n"/>
      <c r="E402" s="49">
        <f>IFERROR(VLOOKUP(D402,'Stock Master'!$A$2:$L$49,2,FALSE),"")</f>
        <v/>
      </c>
      <c r="F402" s="51">
        <f>IFERROR(VLOOKUP(D402,'Stock Master'!$A$2:$L$49,5,FALSE),"")</f>
        <v/>
      </c>
      <c r="G402" s="51" t="n"/>
      <c r="H402" s="51" t="n"/>
      <c r="I402" s="51">
        <f>IFERROR(G402+H402,0)</f>
        <v/>
      </c>
      <c r="J402" s="51">
        <f>IFERROR(F402*G402,0)</f>
        <v/>
      </c>
      <c r="K402" s="51">
        <f>IFERROR(F402*H402,0)</f>
        <v/>
      </c>
      <c r="L402" s="49" t="n"/>
      <c r="M402" s="49" t="n"/>
    </row>
    <row r="403">
      <c r="A403" s="52" t="n"/>
      <c r="B403" s="49" t="n"/>
      <c r="C403" s="49" t="n"/>
      <c r="D403" s="49" t="n"/>
      <c r="E403" s="49">
        <f>IFERROR(VLOOKUP(D403,'Stock Master'!$A$2:$L$49,2,FALSE),"")</f>
        <v/>
      </c>
      <c r="F403" s="51">
        <f>IFERROR(VLOOKUP(D403,'Stock Master'!$A$2:$L$49,5,FALSE),"")</f>
        <v/>
      </c>
      <c r="G403" s="51" t="n"/>
      <c r="H403" s="51" t="n"/>
      <c r="I403" s="51">
        <f>IFERROR(G403+H403,0)</f>
        <v/>
      </c>
      <c r="J403" s="51">
        <f>IFERROR(F403*G403,0)</f>
        <v/>
      </c>
      <c r="K403" s="51">
        <f>IFERROR(F403*H403,0)</f>
        <v/>
      </c>
      <c r="L403" s="49" t="n"/>
      <c r="M403" s="49" t="n"/>
    </row>
    <row r="404">
      <c r="A404" s="52" t="n"/>
      <c r="B404" s="49" t="n"/>
      <c r="C404" s="49" t="n"/>
      <c r="D404" s="49" t="n"/>
      <c r="E404" s="49">
        <f>IFERROR(VLOOKUP(D404,'Stock Master'!$A$2:$L$49,2,FALSE),"")</f>
        <v/>
      </c>
      <c r="F404" s="51">
        <f>IFERROR(VLOOKUP(D404,'Stock Master'!$A$2:$L$49,5,FALSE),"")</f>
        <v/>
      </c>
      <c r="G404" s="51" t="n"/>
      <c r="H404" s="51" t="n"/>
      <c r="I404" s="51">
        <f>IFERROR(G404+H404,0)</f>
        <v/>
      </c>
      <c r="J404" s="51">
        <f>IFERROR(F404*G404,0)</f>
        <v/>
      </c>
      <c r="K404" s="51">
        <f>IFERROR(F404*H404,0)</f>
        <v/>
      </c>
      <c r="L404" s="49" t="n"/>
      <c r="M404" s="49" t="n"/>
    </row>
    <row r="405">
      <c r="A405" s="52" t="n"/>
      <c r="B405" s="49" t="n"/>
      <c r="C405" s="49" t="n"/>
      <c r="D405" s="49" t="n"/>
      <c r="E405" s="49">
        <f>IFERROR(VLOOKUP(D405,'Stock Master'!$A$2:$L$49,2,FALSE),"")</f>
        <v/>
      </c>
      <c r="F405" s="51">
        <f>IFERROR(VLOOKUP(D405,'Stock Master'!$A$2:$L$49,5,FALSE),"")</f>
        <v/>
      </c>
      <c r="G405" s="51" t="n"/>
      <c r="H405" s="51" t="n"/>
      <c r="I405" s="51">
        <f>IFERROR(G405+H405,0)</f>
        <v/>
      </c>
      <c r="J405" s="51">
        <f>IFERROR(F405*G405,0)</f>
        <v/>
      </c>
      <c r="K405" s="51">
        <f>IFERROR(F405*H405,0)</f>
        <v/>
      </c>
      <c r="L405" s="49" t="n"/>
      <c r="M405" s="49" t="n"/>
    </row>
    <row r="406">
      <c r="A406" s="52" t="n"/>
      <c r="B406" s="49" t="n"/>
      <c r="C406" s="49" t="n"/>
      <c r="D406" s="49" t="n"/>
      <c r="E406" s="49">
        <f>IFERROR(VLOOKUP(D406,'Stock Master'!$A$2:$L$49,2,FALSE),"")</f>
        <v/>
      </c>
      <c r="F406" s="51">
        <f>IFERROR(VLOOKUP(D406,'Stock Master'!$A$2:$L$49,5,FALSE),"")</f>
        <v/>
      </c>
      <c r="G406" s="51" t="n"/>
      <c r="H406" s="51" t="n"/>
      <c r="I406" s="51">
        <f>IFERROR(G406+H406,0)</f>
        <v/>
      </c>
      <c r="J406" s="51">
        <f>IFERROR(F406*G406,0)</f>
        <v/>
      </c>
      <c r="K406" s="51">
        <f>IFERROR(F406*H406,0)</f>
        <v/>
      </c>
      <c r="L406" s="49" t="n"/>
      <c r="M406" s="49" t="n"/>
    </row>
    <row r="407">
      <c r="A407" s="52" t="n"/>
      <c r="B407" s="49" t="n"/>
      <c r="C407" s="49" t="n"/>
      <c r="D407" s="49" t="n"/>
      <c r="E407" s="49">
        <f>IFERROR(VLOOKUP(D407,'Stock Master'!$A$2:$L$49,2,FALSE),"")</f>
        <v/>
      </c>
      <c r="F407" s="51">
        <f>IFERROR(VLOOKUP(D407,'Stock Master'!$A$2:$L$49,5,FALSE),"")</f>
        <v/>
      </c>
      <c r="G407" s="51" t="n"/>
      <c r="H407" s="51" t="n"/>
      <c r="I407" s="51">
        <f>IFERROR(G407+H407,0)</f>
        <v/>
      </c>
      <c r="J407" s="51">
        <f>IFERROR(F407*G407,0)</f>
        <v/>
      </c>
      <c r="K407" s="51">
        <f>IFERROR(F407*H407,0)</f>
        <v/>
      </c>
      <c r="L407" s="49" t="n"/>
      <c r="M407" s="49" t="n"/>
    </row>
    <row r="408">
      <c r="A408" s="52" t="n"/>
      <c r="B408" s="49" t="n"/>
      <c r="C408" s="49" t="n"/>
      <c r="D408" s="49" t="n"/>
      <c r="E408" s="49">
        <f>IFERROR(VLOOKUP(D408,'Stock Master'!$A$2:$L$49,2,FALSE),"")</f>
        <v/>
      </c>
      <c r="F408" s="51">
        <f>IFERROR(VLOOKUP(D408,'Stock Master'!$A$2:$L$49,5,FALSE),"")</f>
        <v/>
      </c>
      <c r="G408" s="51" t="n"/>
      <c r="H408" s="51" t="n"/>
      <c r="I408" s="51">
        <f>IFERROR(G408+H408,0)</f>
        <v/>
      </c>
      <c r="J408" s="51">
        <f>IFERROR(F408*G408,0)</f>
        <v/>
      </c>
      <c r="K408" s="51">
        <f>IFERROR(F408*H408,0)</f>
        <v/>
      </c>
      <c r="L408" s="49" t="n"/>
      <c r="M408" s="49" t="n"/>
    </row>
    <row r="409">
      <c r="A409" s="52" t="n"/>
      <c r="B409" s="49" t="n"/>
      <c r="C409" s="49" t="n"/>
      <c r="D409" s="49" t="n"/>
      <c r="E409" s="49">
        <f>IFERROR(VLOOKUP(D409,'Stock Master'!$A$2:$L$49,2,FALSE),"")</f>
        <v/>
      </c>
      <c r="F409" s="51">
        <f>IFERROR(VLOOKUP(D409,'Stock Master'!$A$2:$L$49,5,FALSE),"")</f>
        <v/>
      </c>
      <c r="G409" s="51" t="n"/>
      <c r="H409" s="51" t="n"/>
      <c r="I409" s="51">
        <f>IFERROR(G409+H409,0)</f>
        <v/>
      </c>
      <c r="J409" s="51">
        <f>IFERROR(F409*G409,0)</f>
        <v/>
      </c>
      <c r="K409" s="51">
        <f>IFERROR(F409*H409,0)</f>
        <v/>
      </c>
      <c r="L409" s="49" t="n"/>
      <c r="M409" s="49" t="n"/>
    </row>
    <row r="410">
      <c r="A410" s="52" t="n"/>
      <c r="B410" s="49" t="n"/>
      <c r="C410" s="49" t="n"/>
      <c r="D410" s="49" t="n"/>
      <c r="E410" s="49">
        <f>IFERROR(VLOOKUP(D410,'Stock Master'!$A$2:$L$49,2,FALSE),"")</f>
        <v/>
      </c>
      <c r="F410" s="51">
        <f>IFERROR(VLOOKUP(D410,'Stock Master'!$A$2:$L$49,5,FALSE),"")</f>
        <v/>
      </c>
      <c r="G410" s="51" t="n"/>
      <c r="H410" s="51" t="n"/>
      <c r="I410" s="51">
        <f>IFERROR(G410+H410,0)</f>
        <v/>
      </c>
      <c r="J410" s="51">
        <f>IFERROR(F410*G410,0)</f>
        <v/>
      </c>
      <c r="K410" s="51">
        <f>IFERROR(F410*H410,0)</f>
        <v/>
      </c>
      <c r="L410" s="49" t="n"/>
      <c r="M410" s="49" t="n"/>
    </row>
    <row r="411">
      <c r="A411" s="52" t="n"/>
      <c r="B411" s="49" t="n"/>
      <c r="C411" s="49" t="n"/>
      <c r="D411" s="49" t="n"/>
      <c r="E411" s="49">
        <f>IFERROR(VLOOKUP(D411,'Stock Master'!$A$2:$L$49,2,FALSE),"")</f>
        <v/>
      </c>
      <c r="F411" s="51">
        <f>IFERROR(VLOOKUP(D411,'Stock Master'!$A$2:$L$49,5,FALSE),"")</f>
        <v/>
      </c>
      <c r="G411" s="51" t="n"/>
      <c r="H411" s="51" t="n"/>
      <c r="I411" s="51">
        <f>IFERROR(G411+H411,0)</f>
        <v/>
      </c>
      <c r="J411" s="51">
        <f>IFERROR(F411*G411,0)</f>
        <v/>
      </c>
      <c r="K411" s="51">
        <f>IFERROR(F411*H411,0)</f>
        <v/>
      </c>
      <c r="L411" s="49" t="n"/>
      <c r="M411" s="49" t="n"/>
    </row>
    <row r="412">
      <c r="A412" s="52" t="n"/>
      <c r="B412" s="49" t="n"/>
      <c r="C412" s="49" t="n"/>
      <c r="D412" s="49" t="n"/>
      <c r="E412" s="49">
        <f>IFERROR(VLOOKUP(D412,'Stock Master'!$A$2:$L$49,2,FALSE),"")</f>
        <v/>
      </c>
      <c r="F412" s="51">
        <f>IFERROR(VLOOKUP(D412,'Stock Master'!$A$2:$L$49,5,FALSE),"")</f>
        <v/>
      </c>
      <c r="G412" s="51" t="n"/>
      <c r="H412" s="51" t="n"/>
      <c r="I412" s="51">
        <f>IFERROR(G412+H412,0)</f>
        <v/>
      </c>
      <c r="J412" s="51">
        <f>IFERROR(F412*G412,0)</f>
        <v/>
      </c>
      <c r="K412" s="51">
        <f>IFERROR(F412*H412,0)</f>
        <v/>
      </c>
      <c r="L412" s="49" t="n"/>
      <c r="M412" s="49" t="n"/>
    </row>
    <row r="413">
      <c r="A413" s="52" t="n"/>
      <c r="B413" s="49" t="n"/>
      <c r="C413" s="49" t="n"/>
      <c r="D413" s="49" t="n"/>
      <c r="E413" s="49">
        <f>IFERROR(VLOOKUP(D413,'Stock Master'!$A$2:$L$49,2,FALSE),"")</f>
        <v/>
      </c>
      <c r="F413" s="51">
        <f>IFERROR(VLOOKUP(D413,'Stock Master'!$A$2:$L$49,5,FALSE),"")</f>
        <v/>
      </c>
      <c r="G413" s="51" t="n"/>
      <c r="H413" s="51" t="n"/>
      <c r="I413" s="51">
        <f>IFERROR(G413+H413,0)</f>
        <v/>
      </c>
      <c r="J413" s="51">
        <f>IFERROR(F413*G413,0)</f>
        <v/>
      </c>
      <c r="K413" s="51">
        <f>IFERROR(F413*H413,0)</f>
        <v/>
      </c>
      <c r="L413" s="49" t="n"/>
      <c r="M413" s="49" t="n"/>
    </row>
    <row r="414">
      <c r="A414" s="52" t="n"/>
      <c r="B414" s="49" t="n"/>
      <c r="C414" s="49" t="n"/>
      <c r="D414" s="49" t="n"/>
      <c r="E414" s="49">
        <f>IFERROR(VLOOKUP(D414,'Stock Master'!$A$2:$L$49,2,FALSE),"")</f>
        <v/>
      </c>
      <c r="F414" s="51">
        <f>IFERROR(VLOOKUP(D414,'Stock Master'!$A$2:$L$49,5,FALSE),"")</f>
        <v/>
      </c>
      <c r="G414" s="51" t="n"/>
      <c r="H414" s="51" t="n"/>
      <c r="I414" s="51">
        <f>IFERROR(G414+H414,0)</f>
        <v/>
      </c>
      <c r="J414" s="51">
        <f>IFERROR(F414*G414,0)</f>
        <v/>
      </c>
      <c r="K414" s="51">
        <f>IFERROR(F414*H414,0)</f>
        <v/>
      </c>
      <c r="L414" s="49" t="n"/>
      <c r="M414" s="49" t="n"/>
    </row>
    <row r="415">
      <c r="A415" s="52" t="n"/>
      <c r="B415" s="49" t="n"/>
      <c r="C415" s="49" t="n"/>
      <c r="D415" s="49" t="n"/>
      <c r="E415" s="49">
        <f>IFERROR(VLOOKUP(D415,'Stock Master'!$A$2:$L$49,2,FALSE),"")</f>
        <v/>
      </c>
      <c r="F415" s="51">
        <f>IFERROR(VLOOKUP(D415,'Stock Master'!$A$2:$L$49,5,FALSE),"")</f>
        <v/>
      </c>
      <c r="G415" s="51" t="n"/>
      <c r="H415" s="51" t="n"/>
      <c r="I415" s="51">
        <f>IFERROR(G415+H415,0)</f>
        <v/>
      </c>
      <c r="J415" s="51">
        <f>IFERROR(F415*G415,0)</f>
        <v/>
      </c>
      <c r="K415" s="51">
        <f>IFERROR(F415*H415,0)</f>
        <v/>
      </c>
      <c r="L415" s="49" t="n"/>
      <c r="M415" s="49" t="n"/>
    </row>
    <row r="416">
      <c r="A416" s="52" t="n"/>
      <c r="B416" s="49" t="n"/>
      <c r="C416" s="49" t="n"/>
      <c r="D416" s="49" t="n"/>
      <c r="E416" s="49">
        <f>IFERROR(VLOOKUP(D416,'Stock Master'!$A$2:$L$49,2,FALSE),"")</f>
        <v/>
      </c>
      <c r="F416" s="51">
        <f>IFERROR(VLOOKUP(D416,'Stock Master'!$A$2:$L$49,5,FALSE),"")</f>
        <v/>
      </c>
      <c r="G416" s="51" t="n"/>
      <c r="H416" s="51" t="n"/>
      <c r="I416" s="51">
        <f>IFERROR(G416+H416,0)</f>
        <v/>
      </c>
      <c r="J416" s="51">
        <f>IFERROR(F416*G416,0)</f>
        <v/>
      </c>
      <c r="K416" s="51">
        <f>IFERROR(F416*H416,0)</f>
        <v/>
      </c>
      <c r="L416" s="49" t="n"/>
      <c r="M416" s="49" t="n"/>
    </row>
    <row r="417">
      <c r="A417" s="52" t="n"/>
      <c r="B417" s="49" t="n"/>
      <c r="C417" s="49" t="n"/>
      <c r="D417" s="49" t="n"/>
      <c r="E417" s="49">
        <f>IFERROR(VLOOKUP(D417,'Stock Master'!$A$2:$L$49,2,FALSE),"")</f>
        <v/>
      </c>
      <c r="F417" s="51">
        <f>IFERROR(VLOOKUP(D417,'Stock Master'!$A$2:$L$49,5,FALSE),"")</f>
        <v/>
      </c>
      <c r="G417" s="51" t="n"/>
      <c r="H417" s="51" t="n"/>
      <c r="I417" s="51">
        <f>IFERROR(G417+H417,0)</f>
        <v/>
      </c>
      <c r="J417" s="51">
        <f>IFERROR(F417*G417,0)</f>
        <v/>
      </c>
      <c r="K417" s="51">
        <f>IFERROR(F417*H417,0)</f>
        <v/>
      </c>
      <c r="L417" s="49" t="n"/>
      <c r="M417" s="49" t="n"/>
    </row>
    <row r="418">
      <c r="A418" s="52" t="n"/>
      <c r="B418" s="49" t="n"/>
      <c r="C418" s="49" t="n"/>
      <c r="D418" s="49" t="n"/>
      <c r="E418" s="49">
        <f>IFERROR(VLOOKUP(D418,'Stock Master'!$A$2:$L$49,2,FALSE),"")</f>
        <v/>
      </c>
      <c r="F418" s="51">
        <f>IFERROR(VLOOKUP(D418,'Stock Master'!$A$2:$L$49,5,FALSE),"")</f>
        <v/>
      </c>
      <c r="G418" s="51" t="n"/>
      <c r="H418" s="51" t="n"/>
      <c r="I418" s="51">
        <f>IFERROR(G418+H418,0)</f>
        <v/>
      </c>
      <c r="J418" s="51">
        <f>IFERROR(F418*G418,0)</f>
        <v/>
      </c>
      <c r="K418" s="51">
        <f>IFERROR(F418*H418,0)</f>
        <v/>
      </c>
      <c r="L418" s="49" t="n"/>
      <c r="M418" s="49" t="n"/>
    </row>
    <row r="419">
      <c r="A419" s="52" t="n"/>
      <c r="B419" s="49" t="n"/>
      <c r="C419" s="49" t="n"/>
      <c r="D419" s="49" t="n"/>
      <c r="E419" s="49">
        <f>IFERROR(VLOOKUP(D419,'Stock Master'!$A$2:$L$49,2,FALSE),"")</f>
        <v/>
      </c>
      <c r="F419" s="51">
        <f>IFERROR(VLOOKUP(D419,'Stock Master'!$A$2:$L$49,5,FALSE),"")</f>
        <v/>
      </c>
      <c r="G419" s="51" t="n"/>
      <c r="H419" s="51" t="n"/>
      <c r="I419" s="51">
        <f>IFERROR(G419+H419,0)</f>
        <v/>
      </c>
      <c r="J419" s="51">
        <f>IFERROR(F419*G419,0)</f>
        <v/>
      </c>
      <c r="K419" s="51">
        <f>IFERROR(F419*H419,0)</f>
        <v/>
      </c>
      <c r="L419" s="49" t="n"/>
      <c r="M419" s="49" t="n"/>
    </row>
    <row r="420">
      <c r="A420" s="52" t="n"/>
      <c r="B420" s="49" t="n"/>
      <c r="C420" s="49" t="n"/>
      <c r="D420" s="49" t="n"/>
      <c r="E420" s="49">
        <f>IFERROR(VLOOKUP(D420,'Stock Master'!$A$2:$L$49,2,FALSE),"")</f>
        <v/>
      </c>
      <c r="F420" s="51">
        <f>IFERROR(VLOOKUP(D420,'Stock Master'!$A$2:$L$49,5,FALSE),"")</f>
        <v/>
      </c>
      <c r="G420" s="51" t="n"/>
      <c r="H420" s="51" t="n"/>
      <c r="I420" s="51">
        <f>IFERROR(G420+H420,0)</f>
        <v/>
      </c>
      <c r="J420" s="51">
        <f>IFERROR(F420*G420,0)</f>
        <v/>
      </c>
      <c r="K420" s="51">
        <f>IFERROR(F420*H420,0)</f>
        <v/>
      </c>
      <c r="L420" s="49" t="n"/>
      <c r="M420" s="49" t="n"/>
    </row>
    <row r="421">
      <c r="A421" s="52" t="n"/>
      <c r="B421" s="49" t="n"/>
      <c r="C421" s="49" t="n"/>
      <c r="D421" s="49" t="n"/>
      <c r="E421" s="49">
        <f>IFERROR(VLOOKUP(D421,'Stock Master'!$A$2:$L$49,2,FALSE),"")</f>
        <v/>
      </c>
      <c r="F421" s="51">
        <f>IFERROR(VLOOKUP(D421,'Stock Master'!$A$2:$L$49,5,FALSE),"")</f>
        <v/>
      </c>
      <c r="G421" s="51" t="n"/>
      <c r="H421" s="51" t="n"/>
      <c r="I421" s="51">
        <f>IFERROR(G421+H421,0)</f>
        <v/>
      </c>
      <c r="J421" s="51">
        <f>IFERROR(F421*G421,0)</f>
        <v/>
      </c>
      <c r="K421" s="51">
        <f>IFERROR(F421*H421,0)</f>
        <v/>
      </c>
      <c r="L421" s="49" t="n"/>
      <c r="M421" s="49" t="n"/>
    </row>
    <row r="422">
      <c r="A422" s="52" t="n"/>
      <c r="B422" s="49" t="n"/>
      <c r="C422" s="49" t="n"/>
      <c r="D422" s="49" t="n"/>
      <c r="E422" s="49">
        <f>IFERROR(VLOOKUP(D422,'Stock Master'!$A$2:$L$49,2,FALSE),"")</f>
        <v/>
      </c>
      <c r="F422" s="51">
        <f>IFERROR(VLOOKUP(D422,'Stock Master'!$A$2:$L$49,5,FALSE),"")</f>
        <v/>
      </c>
      <c r="G422" s="51" t="n"/>
      <c r="H422" s="51" t="n"/>
      <c r="I422" s="51">
        <f>IFERROR(G422+H422,0)</f>
        <v/>
      </c>
      <c r="J422" s="51">
        <f>IFERROR(F422*G422,0)</f>
        <v/>
      </c>
      <c r="K422" s="51">
        <f>IFERROR(F422*H422,0)</f>
        <v/>
      </c>
      <c r="L422" s="49" t="n"/>
      <c r="M422" s="49" t="n"/>
    </row>
    <row r="423">
      <c r="A423" s="52" t="n"/>
      <c r="B423" s="49" t="n"/>
      <c r="C423" s="49" t="n"/>
      <c r="D423" s="49" t="n"/>
      <c r="E423" s="49">
        <f>IFERROR(VLOOKUP(D423,'Stock Master'!$A$2:$L$49,2,FALSE),"")</f>
        <v/>
      </c>
      <c r="F423" s="51">
        <f>IFERROR(VLOOKUP(D423,'Stock Master'!$A$2:$L$49,5,FALSE),"")</f>
        <v/>
      </c>
      <c r="G423" s="51" t="n"/>
      <c r="H423" s="51" t="n"/>
      <c r="I423" s="51">
        <f>IFERROR(G423+H423,0)</f>
        <v/>
      </c>
      <c r="J423" s="51">
        <f>IFERROR(F423*G423,0)</f>
        <v/>
      </c>
      <c r="K423" s="51">
        <f>IFERROR(F423*H423,0)</f>
        <v/>
      </c>
      <c r="L423" s="49" t="n"/>
      <c r="M423" s="49" t="n"/>
    </row>
    <row r="424">
      <c r="A424" s="52" t="n"/>
      <c r="B424" s="49" t="n"/>
      <c r="C424" s="49" t="n"/>
      <c r="D424" s="49" t="n"/>
      <c r="E424" s="49">
        <f>IFERROR(VLOOKUP(D424,'Stock Master'!$A$2:$L$49,2,FALSE),"")</f>
        <v/>
      </c>
      <c r="F424" s="51">
        <f>IFERROR(VLOOKUP(D424,'Stock Master'!$A$2:$L$49,5,FALSE),"")</f>
        <v/>
      </c>
      <c r="G424" s="51" t="n"/>
      <c r="H424" s="51" t="n"/>
      <c r="I424" s="51">
        <f>IFERROR(G424+H424,0)</f>
        <v/>
      </c>
      <c r="J424" s="51">
        <f>IFERROR(F424*G424,0)</f>
        <v/>
      </c>
      <c r="K424" s="51">
        <f>IFERROR(F424*H424,0)</f>
        <v/>
      </c>
      <c r="L424" s="49" t="n"/>
      <c r="M424" s="49" t="n"/>
    </row>
    <row r="425">
      <c r="A425" s="52" t="n"/>
      <c r="B425" s="49" t="n"/>
      <c r="C425" s="49" t="n"/>
      <c r="D425" s="49" t="n"/>
      <c r="E425" s="49">
        <f>IFERROR(VLOOKUP(D425,'Stock Master'!$A$2:$L$49,2,FALSE),"")</f>
        <v/>
      </c>
      <c r="F425" s="51">
        <f>IFERROR(VLOOKUP(D425,'Stock Master'!$A$2:$L$49,5,FALSE),"")</f>
        <v/>
      </c>
      <c r="G425" s="51" t="n"/>
      <c r="H425" s="51" t="n"/>
      <c r="I425" s="51">
        <f>IFERROR(G425+H425,0)</f>
        <v/>
      </c>
      <c r="J425" s="51">
        <f>IFERROR(F425*G425,0)</f>
        <v/>
      </c>
      <c r="K425" s="51">
        <f>IFERROR(F425*H425,0)</f>
        <v/>
      </c>
      <c r="L425" s="49" t="n"/>
      <c r="M425" s="49" t="n"/>
    </row>
    <row r="426">
      <c r="A426" s="52" t="n"/>
      <c r="B426" s="49" t="n"/>
      <c r="C426" s="49" t="n"/>
      <c r="D426" s="49" t="n"/>
      <c r="E426" s="49">
        <f>IFERROR(VLOOKUP(D426,'Stock Master'!$A$2:$L$49,2,FALSE),"")</f>
        <v/>
      </c>
      <c r="F426" s="51">
        <f>IFERROR(VLOOKUP(D426,'Stock Master'!$A$2:$L$49,5,FALSE),"")</f>
        <v/>
      </c>
      <c r="G426" s="51" t="n"/>
      <c r="H426" s="51" t="n"/>
      <c r="I426" s="51">
        <f>IFERROR(G426+H426,0)</f>
        <v/>
      </c>
      <c r="J426" s="51">
        <f>IFERROR(F426*G426,0)</f>
        <v/>
      </c>
      <c r="K426" s="51">
        <f>IFERROR(F426*H426,0)</f>
        <v/>
      </c>
      <c r="L426" s="49" t="n"/>
      <c r="M426" s="49" t="n"/>
    </row>
    <row r="427">
      <c r="A427" s="52" t="n"/>
      <c r="B427" s="49" t="n"/>
      <c r="C427" s="49" t="n"/>
      <c r="D427" s="49" t="n"/>
      <c r="E427" s="49">
        <f>IFERROR(VLOOKUP(D427,'Stock Master'!$A$2:$L$49,2,FALSE),"")</f>
        <v/>
      </c>
      <c r="F427" s="51">
        <f>IFERROR(VLOOKUP(D427,'Stock Master'!$A$2:$L$49,5,FALSE),"")</f>
        <v/>
      </c>
      <c r="G427" s="51" t="n"/>
      <c r="H427" s="51" t="n"/>
      <c r="I427" s="51">
        <f>IFERROR(G427+H427,0)</f>
        <v/>
      </c>
      <c r="J427" s="51">
        <f>IFERROR(F427*G427,0)</f>
        <v/>
      </c>
      <c r="K427" s="51">
        <f>IFERROR(F427*H427,0)</f>
        <v/>
      </c>
      <c r="L427" s="49" t="n"/>
      <c r="M427" s="49" t="n"/>
    </row>
    <row r="428">
      <c r="A428" s="52" t="n"/>
      <c r="B428" s="49" t="n"/>
      <c r="C428" s="49" t="n"/>
      <c r="D428" s="49" t="n"/>
      <c r="E428" s="49">
        <f>IFERROR(VLOOKUP(D428,'Stock Master'!$A$2:$L$49,2,FALSE),"")</f>
        <v/>
      </c>
      <c r="F428" s="51">
        <f>IFERROR(VLOOKUP(D428,'Stock Master'!$A$2:$L$49,5,FALSE),"")</f>
        <v/>
      </c>
      <c r="G428" s="51" t="n"/>
      <c r="H428" s="51" t="n"/>
      <c r="I428" s="51">
        <f>IFERROR(G428+H428,0)</f>
        <v/>
      </c>
      <c r="J428" s="51">
        <f>IFERROR(F428*G428,0)</f>
        <v/>
      </c>
      <c r="K428" s="51">
        <f>IFERROR(F428*H428,0)</f>
        <v/>
      </c>
      <c r="L428" s="49" t="n"/>
      <c r="M428" s="49" t="n"/>
    </row>
    <row r="429">
      <c r="A429" s="52" t="n"/>
      <c r="B429" s="49" t="n"/>
      <c r="C429" s="49" t="n"/>
      <c r="D429" s="49" t="n"/>
      <c r="E429" s="49">
        <f>IFERROR(VLOOKUP(D429,'Stock Master'!$A$2:$L$49,2,FALSE),"")</f>
        <v/>
      </c>
      <c r="F429" s="51">
        <f>IFERROR(VLOOKUP(D429,'Stock Master'!$A$2:$L$49,5,FALSE),"")</f>
        <v/>
      </c>
      <c r="G429" s="51" t="n"/>
      <c r="H429" s="51" t="n"/>
      <c r="I429" s="51">
        <f>IFERROR(G429+H429,0)</f>
        <v/>
      </c>
      <c r="J429" s="51">
        <f>IFERROR(F429*G429,0)</f>
        <v/>
      </c>
      <c r="K429" s="51">
        <f>IFERROR(F429*H429,0)</f>
        <v/>
      </c>
      <c r="L429" s="49" t="n"/>
      <c r="M429" s="49" t="n"/>
    </row>
    <row r="430">
      <c r="A430" s="52" t="n"/>
      <c r="B430" s="49" t="n"/>
      <c r="C430" s="49" t="n"/>
      <c r="D430" s="49" t="n"/>
      <c r="E430" s="49">
        <f>IFERROR(VLOOKUP(D430,'Stock Master'!$A$2:$L$49,2,FALSE),"")</f>
        <v/>
      </c>
      <c r="F430" s="51">
        <f>IFERROR(VLOOKUP(D430,'Stock Master'!$A$2:$L$49,5,FALSE),"")</f>
        <v/>
      </c>
      <c r="G430" s="51" t="n"/>
      <c r="H430" s="51" t="n"/>
      <c r="I430" s="51">
        <f>IFERROR(G430+H430,0)</f>
        <v/>
      </c>
      <c r="J430" s="51">
        <f>IFERROR(F430*G430,0)</f>
        <v/>
      </c>
      <c r="K430" s="51">
        <f>IFERROR(F430*H430,0)</f>
        <v/>
      </c>
      <c r="L430" s="49" t="n"/>
      <c r="M430" s="49" t="n"/>
    </row>
    <row r="431">
      <c r="A431" s="52" t="n"/>
      <c r="B431" s="49" t="n"/>
      <c r="C431" s="49" t="n"/>
      <c r="D431" s="49" t="n"/>
      <c r="E431" s="49">
        <f>IFERROR(VLOOKUP(D431,'Stock Master'!$A$2:$L$49,2,FALSE),"")</f>
        <v/>
      </c>
      <c r="F431" s="51">
        <f>IFERROR(VLOOKUP(D431,'Stock Master'!$A$2:$L$49,5,FALSE),"")</f>
        <v/>
      </c>
      <c r="G431" s="51" t="n"/>
      <c r="H431" s="51" t="n"/>
      <c r="I431" s="51">
        <f>IFERROR(G431+H431,0)</f>
        <v/>
      </c>
      <c r="J431" s="51">
        <f>IFERROR(F431*G431,0)</f>
        <v/>
      </c>
      <c r="K431" s="51">
        <f>IFERROR(F431*H431,0)</f>
        <v/>
      </c>
      <c r="L431" s="49" t="n"/>
      <c r="M431" s="49" t="n"/>
    </row>
    <row r="432">
      <c r="A432" s="52" t="n"/>
      <c r="B432" s="49" t="n"/>
      <c r="C432" s="49" t="n"/>
      <c r="D432" s="49" t="n"/>
      <c r="E432" s="49">
        <f>IFERROR(VLOOKUP(D432,'Stock Master'!$A$2:$L$49,2,FALSE),"")</f>
        <v/>
      </c>
      <c r="F432" s="51">
        <f>IFERROR(VLOOKUP(D432,'Stock Master'!$A$2:$L$49,5,FALSE),"")</f>
        <v/>
      </c>
      <c r="G432" s="51" t="n"/>
      <c r="H432" s="51" t="n"/>
      <c r="I432" s="51">
        <f>IFERROR(G432+H432,0)</f>
        <v/>
      </c>
      <c r="J432" s="51">
        <f>IFERROR(F432*G432,0)</f>
        <v/>
      </c>
      <c r="K432" s="51">
        <f>IFERROR(F432*H432,0)</f>
        <v/>
      </c>
      <c r="L432" s="49" t="n"/>
      <c r="M432" s="49" t="n"/>
    </row>
    <row r="433">
      <c r="A433" s="52" t="n"/>
      <c r="B433" s="49" t="n"/>
      <c r="C433" s="49" t="n"/>
      <c r="D433" s="49" t="n"/>
      <c r="E433" s="49">
        <f>IFERROR(VLOOKUP(D433,'Stock Master'!$A$2:$L$49,2,FALSE),"")</f>
        <v/>
      </c>
      <c r="F433" s="51">
        <f>IFERROR(VLOOKUP(D433,'Stock Master'!$A$2:$L$49,5,FALSE),"")</f>
        <v/>
      </c>
      <c r="G433" s="51" t="n"/>
      <c r="H433" s="51" t="n"/>
      <c r="I433" s="51">
        <f>IFERROR(G433+H433,0)</f>
        <v/>
      </c>
      <c r="J433" s="51">
        <f>IFERROR(F433*G433,0)</f>
        <v/>
      </c>
      <c r="K433" s="51">
        <f>IFERROR(F433*H433,0)</f>
        <v/>
      </c>
      <c r="L433" s="49" t="n"/>
      <c r="M433" s="49" t="n"/>
    </row>
    <row r="434">
      <c r="A434" s="52" t="n"/>
      <c r="B434" s="49" t="n"/>
      <c r="C434" s="49" t="n"/>
      <c r="D434" s="49" t="n"/>
      <c r="E434" s="49">
        <f>IFERROR(VLOOKUP(D434,'Stock Master'!$A$2:$L$49,2,FALSE),"")</f>
        <v/>
      </c>
      <c r="F434" s="51">
        <f>IFERROR(VLOOKUP(D434,'Stock Master'!$A$2:$L$49,5,FALSE),"")</f>
        <v/>
      </c>
      <c r="G434" s="51" t="n"/>
      <c r="H434" s="51" t="n"/>
      <c r="I434" s="51">
        <f>IFERROR(G434+H434,0)</f>
        <v/>
      </c>
      <c r="J434" s="51">
        <f>IFERROR(F434*G434,0)</f>
        <v/>
      </c>
      <c r="K434" s="51">
        <f>IFERROR(F434*H434,0)</f>
        <v/>
      </c>
      <c r="L434" s="49" t="n"/>
      <c r="M434" s="49" t="n"/>
    </row>
    <row r="435">
      <c r="A435" s="52" t="n"/>
      <c r="B435" s="49" t="n"/>
      <c r="C435" s="49" t="n"/>
      <c r="D435" s="49" t="n"/>
      <c r="E435" s="49">
        <f>IFERROR(VLOOKUP(D435,'Stock Master'!$A$2:$L$49,2,FALSE),"")</f>
        <v/>
      </c>
      <c r="F435" s="51">
        <f>IFERROR(VLOOKUP(D435,'Stock Master'!$A$2:$L$49,5,FALSE),"")</f>
        <v/>
      </c>
      <c r="G435" s="51" t="n"/>
      <c r="H435" s="51" t="n"/>
      <c r="I435" s="51">
        <f>IFERROR(G435+H435,0)</f>
        <v/>
      </c>
      <c r="J435" s="51">
        <f>IFERROR(F435*G435,0)</f>
        <v/>
      </c>
      <c r="K435" s="51">
        <f>IFERROR(F435*H435,0)</f>
        <v/>
      </c>
      <c r="L435" s="49" t="n"/>
      <c r="M435" s="49" t="n"/>
    </row>
    <row r="436">
      <c r="A436" s="52" t="n"/>
      <c r="B436" s="49" t="n"/>
      <c r="C436" s="49" t="n"/>
      <c r="D436" s="49" t="n"/>
      <c r="E436" s="49">
        <f>IFERROR(VLOOKUP(D436,'Stock Master'!$A$2:$L$49,2,FALSE),"")</f>
        <v/>
      </c>
      <c r="F436" s="51">
        <f>IFERROR(VLOOKUP(D436,'Stock Master'!$A$2:$L$49,5,FALSE),"")</f>
        <v/>
      </c>
      <c r="G436" s="51" t="n"/>
      <c r="H436" s="51" t="n"/>
      <c r="I436" s="51">
        <f>IFERROR(G436+H436,0)</f>
        <v/>
      </c>
      <c r="J436" s="51">
        <f>IFERROR(F436*G436,0)</f>
        <v/>
      </c>
      <c r="K436" s="51">
        <f>IFERROR(F436*H436,0)</f>
        <v/>
      </c>
      <c r="L436" s="49" t="n"/>
      <c r="M436" s="49" t="n"/>
    </row>
    <row r="437">
      <c r="A437" s="52" t="n"/>
      <c r="B437" s="49" t="n"/>
      <c r="C437" s="49" t="n"/>
      <c r="D437" s="49" t="n"/>
      <c r="E437" s="49">
        <f>IFERROR(VLOOKUP(D437,'Stock Master'!$A$2:$L$49,2,FALSE),"")</f>
        <v/>
      </c>
      <c r="F437" s="51">
        <f>IFERROR(VLOOKUP(D437,'Stock Master'!$A$2:$L$49,5,FALSE),"")</f>
        <v/>
      </c>
      <c r="G437" s="51" t="n"/>
      <c r="H437" s="51" t="n"/>
      <c r="I437" s="51">
        <f>IFERROR(G437+H437,0)</f>
        <v/>
      </c>
      <c r="J437" s="51">
        <f>IFERROR(F437*G437,0)</f>
        <v/>
      </c>
      <c r="K437" s="51">
        <f>IFERROR(F437*H437,0)</f>
        <v/>
      </c>
      <c r="L437" s="49" t="n"/>
      <c r="M437" s="49" t="n"/>
    </row>
    <row r="438">
      <c r="A438" s="52" t="n"/>
      <c r="B438" s="49" t="n"/>
      <c r="C438" s="49" t="n"/>
      <c r="D438" s="49" t="n"/>
      <c r="E438" s="49">
        <f>IFERROR(VLOOKUP(D438,'Stock Master'!$A$2:$L$49,2,FALSE),"")</f>
        <v/>
      </c>
      <c r="F438" s="51">
        <f>IFERROR(VLOOKUP(D438,'Stock Master'!$A$2:$L$49,5,FALSE),"")</f>
        <v/>
      </c>
      <c r="G438" s="51" t="n"/>
      <c r="H438" s="51" t="n"/>
      <c r="I438" s="51">
        <f>IFERROR(G438+H438,0)</f>
        <v/>
      </c>
      <c r="J438" s="51">
        <f>IFERROR(F438*G438,0)</f>
        <v/>
      </c>
      <c r="K438" s="51">
        <f>IFERROR(F438*H438,0)</f>
        <v/>
      </c>
      <c r="L438" s="49" t="n"/>
      <c r="M438" s="49" t="n"/>
    </row>
    <row r="439">
      <c r="A439" s="52" t="n"/>
      <c r="B439" s="49" t="n"/>
      <c r="C439" s="49" t="n"/>
      <c r="D439" s="49" t="n"/>
      <c r="E439" s="49">
        <f>IFERROR(VLOOKUP(D439,'Stock Master'!$A$2:$L$49,2,FALSE),"")</f>
        <v/>
      </c>
      <c r="F439" s="51">
        <f>IFERROR(VLOOKUP(D439,'Stock Master'!$A$2:$L$49,5,FALSE),"")</f>
        <v/>
      </c>
      <c r="G439" s="51" t="n"/>
      <c r="H439" s="51" t="n"/>
      <c r="I439" s="51">
        <f>IFERROR(G439+H439,0)</f>
        <v/>
      </c>
      <c r="J439" s="51">
        <f>IFERROR(F439*G439,0)</f>
        <v/>
      </c>
      <c r="K439" s="51">
        <f>IFERROR(F439*H439,0)</f>
        <v/>
      </c>
      <c r="L439" s="49" t="n"/>
      <c r="M439" s="49" t="n"/>
    </row>
    <row r="440">
      <c r="A440" s="52" t="n"/>
      <c r="B440" s="49" t="n"/>
      <c r="C440" s="49" t="n"/>
      <c r="D440" s="49" t="n"/>
      <c r="E440" s="49">
        <f>IFERROR(VLOOKUP(D440,'Stock Master'!$A$2:$L$49,2,FALSE),"")</f>
        <v/>
      </c>
      <c r="F440" s="51">
        <f>IFERROR(VLOOKUP(D440,'Stock Master'!$A$2:$L$49,5,FALSE),"")</f>
        <v/>
      </c>
      <c r="G440" s="51" t="n"/>
      <c r="H440" s="51" t="n"/>
      <c r="I440" s="51">
        <f>IFERROR(G440+H440,0)</f>
        <v/>
      </c>
      <c r="J440" s="51">
        <f>IFERROR(F440*G440,0)</f>
        <v/>
      </c>
      <c r="K440" s="51">
        <f>IFERROR(F440*H440,0)</f>
        <v/>
      </c>
      <c r="L440" s="49" t="n"/>
      <c r="M440" s="49" t="n"/>
    </row>
    <row r="441">
      <c r="A441" s="52" t="n"/>
      <c r="B441" s="49" t="n"/>
      <c r="C441" s="49" t="n"/>
      <c r="D441" s="49" t="n"/>
      <c r="E441" s="49">
        <f>IFERROR(VLOOKUP(D441,'Stock Master'!$A$2:$L$49,2,FALSE),"")</f>
        <v/>
      </c>
      <c r="F441" s="51">
        <f>IFERROR(VLOOKUP(D441,'Stock Master'!$A$2:$L$49,5,FALSE),"")</f>
        <v/>
      </c>
      <c r="G441" s="51" t="n"/>
      <c r="H441" s="51" t="n"/>
      <c r="I441" s="51">
        <f>IFERROR(G441+H441,0)</f>
        <v/>
      </c>
      <c r="J441" s="51">
        <f>IFERROR(F441*G441,0)</f>
        <v/>
      </c>
      <c r="K441" s="51">
        <f>IFERROR(F441*H441,0)</f>
        <v/>
      </c>
      <c r="L441" s="49" t="n"/>
      <c r="M441" s="49" t="n"/>
    </row>
    <row r="442">
      <c r="A442" s="52" t="n"/>
      <c r="B442" s="49" t="n"/>
      <c r="C442" s="49" t="n"/>
      <c r="D442" s="49" t="n"/>
      <c r="E442" s="49">
        <f>IFERROR(VLOOKUP(D442,'Stock Master'!$A$2:$L$49,2,FALSE),"")</f>
        <v/>
      </c>
      <c r="F442" s="51">
        <f>IFERROR(VLOOKUP(D442,'Stock Master'!$A$2:$L$49,5,FALSE),"")</f>
        <v/>
      </c>
      <c r="G442" s="51" t="n"/>
      <c r="H442" s="51" t="n"/>
      <c r="I442" s="51">
        <f>IFERROR(G442+H442,0)</f>
        <v/>
      </c>
      <c r="J442" s="51">
        <f>IFERROR(F442*G442,0)</f>
        <v/>
      </c>
      <c r="K442" s="51">
        <f>IFERROR(F442*H442,0)</f>
        <v/>
      </c>
      <c r="L442" s="49" t="n"/>
      <c r="M442" s="49" t="n"/>
    </row>
    <row r="443">
      <c r="A443" s="52" t="n"/>
      <c r="B443" s="49" t="n"/>
      <c r="C443" s="49" t="n"/>
      <c r="D443" s="49" t="n"/>
      <c r="E443" s="49">
        <f>IFERROR(VLOOKUP(D443,'Stock Master'!$A$2:$L$49,2,FALSE),"")</f>
        <v/>
      </c>
      <c r="F443" s="51">
        <f>IFERROR(VLOOKUP(D443,'Stock Master'!$A$2:$L$49,5,FALSE),"")</f>
        <v/>
      </c>
      <c r="G443" s="51" t="n"/>
      <c r="H443" s="51" t="n"/>
      <c r="I443" s="51">
        <f>IFERROR(G443+H443,0)</f>
        <v/>
      </c>
      <c r="J443" s="51">
        <f>IFERROR(F443*G443,0)</f>
        <v/>
      </c>
      <c r="K443" s="51">
        <f>IFERROR(F443*H443,0)</f>
        <v/>
      </c>
      <c r="L443" s="49" t="n"/>
      <c r="M443" s="49" t="n"/>
    </row>
    <row r="444">
      <c r="A444" s="52" t="n"/>
      <c r="B444" s="49" t="n"/>
      <c r="C444" s="49" t="n"/>
      <c r="D444" s="49" t="n"/>
      <c r="E444" s="49">
        <f>IFERROR(VLOOKUP(D444,'Stock Master'!$A$2:$L$49,2,FALSE),"")</f>
        <v/>
      </c>
      <c r="F444" s="51">
        <f>IFERROR(VLOOKUP(D444,'Stock Master'!$A$2:$L$49,5,FALSE),"")</f>
        <v/>
      </c>
      <c r="G444" s="51" t="n"/>
      <c r="H444" s="51" t="n"/>
      <c r="I444" s="51">
        <f>IFERROR(G444+H444,0)</f>
        <v/>
      </c>
      <c r="J444" s="51">
        <f>IFERROR(F444*G444,0)</f>
        <v/>
      </c>
      <c r="K444" s="51">
        <f>IFERROR(F444*H444,0)</f>
        <v/>
      </c>
      <c r="L444" s="49" t="n"/>
      <c r="M444" s="49" t="n"/>
    </row>
    <row r="445">
      <c r="A445" s="52" t="n"/>
      <c r="B445" s="49" t="n"/>
      <c r="C445" s="49" t="n"/>
      <c r="D445" s="49" t="n"/>
      <c r="E445" s="49">
        <f>IFERROR(VLOOKUP(D445,'Stock Master'!$A$2:$L$49,2,FALSE),"")</f>
        <v/>
      </c>
      <c r="F445" s="51">
        <f>IFERROR(VLOOKUP(D445,'Stock Master'!$A$2:$L$49,5,FALSE),"")</f>
        <v/>
      </c>
      <c r="G445" s="51" t="n"/>
      <c r="H445" s="51" t="n"/>
      <c r="I445" s="51">
        <f>IFERROR(G445+H445,0)</f>
        <v/>
      </c>
      <c r="J445" s="51">
        <f>IFERROR(F445*G445,0)</f>
        <v/>
      </c>
      <c r="K445" s="51">
        <f>IFERROR(F445*H445,0)</f>
        <v/>
      </c>
      <c r="L445" s="49" t="n"/>
      <c r="M445" s="49" t="n"/>
    </row>
    <row r="446">
      <c r="A446" s="52" t="n"/>
      <c r="B446" s="49" t="n"/>
      <c r="C446" s="49" t="n"/>
      <c r="D446" s="49" t="n"/>
      <c r="E446" s="49">
        <f>IFERROR(VLOOKUP(D446,'Stock Master'!$A$2:$L$49,2,FALSE),"")</f>
        <v/>
      </c>
      <c r="F446" s="51">
        <f>IFERROR(VLOOKUP(D446,'Stock Master'!$A$2:$L$49,5,FALSE),"")</f>
        <v/>
      </c>
      <c r="G446" s="51" t="n"/>
      <c r="H446" s="51" t="n"/>
      <c r="I446" s="51">
        <f>IFERROR(G446+H446,0)</f>
        <v/>
      </c>
      <c r="J446" s="51">
        <f>IFERROR(F446*G446,0)</f>
        <v/>
      </c>
      <c r="K446" s="51">
        <f>IFERROR(F446*H446,0)</f>
        <v/>
      </c>
      <c r="L446" s="49" t="n"/>
      <c r="M446" s="49" t="n"/>
    </row>
    <row r="447">
      <c r="A447" s="52" t="n"/>
      <c r="B447" s="49" t="n"/>
      <c r="C447" s="49" t="n"/>
      <c r="D447" s="49" t="n"/>
      <c r="E447" s="49">
        <f>IFERROR(VLOOKUP(D447,'Stock Master'!$A$2:$L$49,2,FALSE),"")</f>
        <v/>
      </c>
      <c r="F447" s="51">
        <f>IFERROR(VLOOKUP(D447,'Stock Master'!$A$2:$L$49,5,FALSE),"")</f>
        <v/>
      </c>
      <c r="G447" s="51" t="n"/>
      <c r="H447" s="51" t="n"/>
      <c r="I447" s="51">
        <f>IFERROR(G447+H447,0)</f>
        <v/>
      </c>
      <c r="J447" s="51">
        <f>IFERROR(F447*G447,0)</f>
        <v/>
      </c>
      <c r="K447" s="51">
        <f>IFERROR(F447*H447,0)</f>
        <v/>
      </c>
      <c r="L447" s="49" t="n"/>
      <c r="M447" s="49" t="n"/>
    </row>
    <row r="448">
      <c r="A448" s="52" t="n"/>
      <c r="B448" s="49" t="n"/>
      <c r="C448" s="49" t="n"/>
      <c r="D448" s="49" t="n"/>
      <c r="E448" s="49">
        <f>IFERROR(VLOOKUP(D448,'Stock Master'!$A$2:$L$49,2,FALSE),"")</f>
        <v/>
      </c>
      <c r="F448" s="51">
        <f>IFERROR(VLOOKUP(D448,'Stock Master'!$A$2:$L$49,5,FALSE),"")</f>
        <v/>
      </c>
      <c r="G448" s="51" t="n"/>
      <c r="H448" s="51" t="n"/>
      <c r="I448" s="51">
        <f>IFERROR(G448+H448,0)</f>
        <v/>
      </c>
      <c r="J448" s="51">
        <f>IFERROR(F448*G448,0)</f>
        <v/>
      </c>
      <c r="K448" s="51">
        <f>IFERROR(F448*H448,0)</f>
        <v/>
      </c>
      <c r="L448" s="49" t="n"/>
      <c r="M448" s="49" t="n"/>
    </row>
    <row r="449">
      <c r="A449" s="52" t="n"/>
      <c r="B449" s="49" t="n"/>
      <c r="C449" s="49" t="n"/>
      <c r="D449" s="49" t="n"/>
      <c r="E449" s="49">
        <f>IFERROR(VLOOKUP(D449,'Stock Master'!$A$2:$L$49,2,FALSE),"")</f>
        <v/>
      </c>
      <c r="F449" s="51">
        <f>IFERROR(VLOOKUP(D449,'Stock Master'!$A$2:$L$49,5,FALSE),"")</f>
        <v/>
      </c>
      <c r="G449" s="51" t="n"/>
      <c r="H449" s="51" t="n"/>
      <c r="I449" s="51">
        <f>IFERROR(G449+H449,0)</f>
        <v/>
      </c>
      <c r="J449" s="51">
        <f>IFERROR(F449*G449,0)</f>
        <v/>
      </c>
      <c r="K449" s="51">
        <f>IFERROR(F449*H449,0)</f>
        <v/>
      </c>
      <c r="L449" s="49" t="n"/>
      <c r="M449" s="49" t="n"/>
    </row>
    <row r="450">
      <c r="A450" s="52" t="n"/>
      <c r="B450" s="49" t="n"/>
      <c r="C450" s="49" t="n"/>
      <c r="D450" s="49" t="n"/>
      <c r="E450" s="49">
        <f>IFERROR(VLOOKUP(D450,'Stock Master'!$A$2:$L$49,2,FALSE),"")</f>
        <v/>
      </c>
      <c r="F450" s="51">
        <f>IFERROR(VLOOKUP(D450,'Stock Master'!$A$2:$L$49,5,FALSE),"")</f>
        <v/>
      </c>
      <c r="G450" s="51" t="n"/>
      <c r="H450" s="51" t="n"/>
      <c r="I450" s="51">
        <f>IFERROR(G450+H450,0)</f>
        <v/>
      </c>
      <c r="J450" s="51">
        <f>IFERROR(F450*G450,0)</f>
        <v/>
      </c>
      <c r="K450" s="51">
        <f>IFERROR(F450*H450,0)</f>
        <v/>
      </c>
      <c r="L450" s="49" t="n"/>
      <c r="M450" s="49" t="n"/>
    </row>
    <row r="451">
      <c r="A451" s="52" t="n"/>
      <c r="B451" s="49" t="n"/>
      <c r="C451" s="49" t="n"/>
      <c r="D451" s="49" t="n"/>
      <c r="E451" s="49">
        <f>IFERROR(VLOOKUP(D451,'Stock Master'!$A$2:$L$49,2,FALSE),"")</f>
        <v/>
      </c>
      <c r="F451" s="51">
        <f>IFERROR(VLOOKUP(D451,'Stock Master'!$A$2:$L$49,5,FALSE),"")</f>
        <v/>
      </c>
      <c r="G451" s="51" t="n"/>
      <c r="H451" s="51" t="n"/>
      <c r="I451" s="51">
        <f>IFERROR(G451+H451,0)</f>
        <v/>
      </c>
      <c r="J451" s="51">
        <f>IFERROR(F451*G451,0)</f>
        <v/>
      </c>
      <c r="K451" s="51">
        <f>IFERROR(F451*H451,0)</f>
        <v/>
      </c>
      <c r="L451" s="49" t="n"/>
      <c r="M451" s="49" t="n"/>
    </row>
    <row r="452">
      <c r="A452" s="52" t="n"/>
      <c r="B452" s="49" t="n"/>
      <c r="C452" s="49" t="n"/>
      <c r="D452" s="49" t="n"/>
      <c r="E452" s="49">
        <f>IFERROR(VLOOKUP(D452,'Stock Master'!$A$2:$L$49,2,FALSE),"")</f>
        <v/>
      </c>
      <c r="F452" s="51">
        <f>IFERROR(VLOOKUP(D452,'Stock Master'!$A$2:$L$49,5,FALSE),"")</f>
        <v/>
      </c>
      <c r="G452" s="51" t="n"/>
      <c r="H452" s="51" t="n"/>
      <c r="I452" s="51">
        <f>IFERROR(G452+H452,0)</f>
        <v/>
      </c>
      <c r="J452" s="51">
        <f>IFERROR(F452*G452,0)</f>
        <v/>
      </c>
      <c r="K452" s="51">
        <f>IFERROR(F452*H452,0)</f>
        <v/>
      </c>
      <c r="L452" s="49" t="n"/>
      <c r="M452" s="49" t="n"/>
    </row>
    <row r="453">
      <c r="A453" s="52" t="n"/>
      <c r="B453" s="49" t="n"/>
      <c r="C453" s="49" t="n"/>
      <c r="D453" s="49" t="n"/>
      <c r="E453" s="49">
        <f>IFERROR(VLOOKUP(D453,'Stock Master'!$A$2:$L$49,2,FALSE),"")</f>
        <v/>
      </c>
      <c r="F453" s="51">
        <f>IFERROR(VLOOKUP(D453,'Stock Master'!$A$2:$L$49,5,FALSE),"")</f>
        <v/>
      </c>
      <c r="G453" s="51" t="n"/>
      <c r="H453" s="51" t="n"/>
      <c r="I453" s="51">
        <f>IFERROR(G453+H453,0)</f>
        <v/>
      </c>
      <c r="J453" s="51">
        <f>IFERROR(F453*G453,0)</f>
        <v/>
      </c>
      <c r="K453" s="51">
        <f>IFERROR(F453*H453,0)</f>
        <v/>
      </c>
      <c r="L453" s="49" t="n"/>
      <c r="M453" s="49" t="n"/>
    </row>
    <row r="454">
      <c r="A454" s="52" t="n"/>
      <c r="B454" s="49" t="n"/>
      <c r="C454" s="49" t="n"/>
      <c r="D454" s="49" t="n"/>
      <c r="E454" s="49">
        <f>IFERROR(VLOOKUP(D454,'Stock Master'!$A$2:$L$49,2,FALSE),"")</f>
        <v/>
      </c>
      <c r="F454" s="51">
        <f>IFERROR(VLOOKUP(D454,'Stock Master'!$A$2:$L$49,5,FALSE),"")</f>
        <v/>
      </c>
      <c r="G454" s="51" t="n"/>
      <c r="H454" s="51" t="n"/>
      <c r="I454" s="51">
        <f>IFERROR(G454+H454,0)</f>
        <v/>
      </c>
      <c r="J454" s="51">
        <f>IFERROR(F454*G454,0)</f>
        <v/>
      </c>
      <c r="K454" s="51">
        <f>IFERROR(F454*H454,0)</f>
        <v/>
      </c>
      <c r="L454" s="49" t="n"/>
      <c r="M454" s="49" t="n"/>
    </row>
    <row r="455">
      <c r="A455" s="52" t="n"/>
      <c r="B455" s="49" t="n"/>
      <c r="C455" s="49" t="n"/>
      <c r="D455" s="49" t="n"/>
      <c r="E455" s="49">
        <f>IFERROR(VLOOKUP(D455,'Stock Master'!$A$2:$L$49,2,FALSE),"")</f>
        <v/>
      </c>
      <c r="F455" s="51">
        <f>IFERROR(VLOOKUP(D455,'Stock Master'!$A$2:$L$49,5,FALSE),"")</f>
        <v/>
      </c>
      <c r="G455" s="51" t="n"/>
      <c r="H455" s="51" t="n"/>
      <c r="I455" s="51">
        <f>IFERROR(G455+H455,0)</f>
        <v/>
      </c>
      <c r="J455" s="51">
        <f>IFERROR(F455*G455,0)</f>
        <v/>
      </c>
      <c r="K455" s="51">
        <f>IFERROR(F455*H455,0)</f>
        <v/>
      </c>
      <c r="L455" s="49" t="n"/>
      <c r="M455" s="49" t="n"/>
    </row>
    <row r="456">
      <c r="A456" s="52" t="n"/>
      <c r="B456" s="49" t="n"/>
      <c r="C456" s="49" t="n"/>
      <c r="D456" s="49" t="n"/>
      <c r="E456" s="49">
        <f>IFERROR(VLOOKUP(D456,'Stock Master'!$A$2:$L$49,2,FALSE),"")</f>
        <v/>
      </c>
      <c r="F456" s="51">
        <f>IFERROR(VLOOKUP(D456,'Stock Master'!$A$2:$L$49,5,FALSE),"")</f>
        <v/>
      </c>
      <c r="G456" s="51" t="n"/>
      <c r="H456" s="51" t="n"/>
      <c r="I456" s="51">
        <f>IFERROR(G456+H456,0)</f>
        <v/>
      </c>
      <c r="J456" s="51">
        <f>IFERROR(F456*G456,0)</f>
        <v/>
      </c>
      <c r="K456" s="51">
        <f>IFERROR(F456*H456,0)</f>
        <v/>
      </c>
      <c r="L456" s="49" t="n"/>
      <c r="M456" s="49" t="n"/>
    </row>
    <row r="457">
      <c r="A457" s="52" t="n"/>
      <c r="B457" s="49" t="n"/>
      <c r="C457" s="49" t="n"/>
      <c r="D457" s="49" t="n"/>
      <c r="E457" s="49">
        <f>IFERROR(VLOOKUP(D457,'Stock Master'!$A$2:$L$49,2,FALSE),"")</f>
        <v/>
      </c>
      <c r="F457" s="51">
        <f>IFERROR(VLOOKUP(D457,'Stock Master'!$A$2:$L$49,5,FALSE),"")</f>
        <v/>
      </c>
      <c r="G457" s="51" t="n"/>
      <c r="H457" s="51" t="n"/>
      <c r="I457" s="51">
        <f>IFERROR(G457+H457,0)</f>
        <v/>
      </c>
      <c r="J457" s="51">
        <f>IFERROR(F457*G457,0)</f>
        <v/>
      </c>
      <c r="K457" s="51">
        <f>IFERROR(F457*H457,0)</f>
        <v/>
      </c>
      <c r="L457" s="49" t="n"/>
      <c r="M457" s="49" t="n"/>
    </row>
    <row r="458">
      <c r="A458" s="52" t="n"/>
      <c r="B458" s="49" t="n"/>
      <c r="C458" s="49" t="n"/>
      <c r="D458" s="49" t="n"/>
      <c r="E458" s="49">
        <f>IFERROR(VLOOKUP(D458,'Stock Master'!$A$2:$L$49,2,FALSE),"")</f>
        <v/>
      </c>
      <c r="F458" s="51">
        <f>IFERROR(VLOOKUP(D458,'Stock Master'!$A$2:$L$49,5,FALSE),"")</f>
        <v/>
      </c>
      <c r="G458" s="51" t="n"/>
      <c r="H458" s="51" t="n"/>
      <c r="I458" s="51">
        <f>IFERROR(G458+H458,0)</f>
        <v/>
      </c>
      <c r="J458" s="51">
        <f>IFERROR(F458*G458,0)</f>
        <v/>
      </c>
      <c r="K458" s="51">
        <f>IFERROR(F458*H458,0)</f>
        <v/>
      </c>
      <c r="L458" s="49" t="n"/>
      <c r="M458" s="49" t="n"/>
    </row>
    <row r="459">
      <c r="A459" s="52" t="n"/>
      <c r="B459" s="49" t="n"/>
      <c r="C459" s="49" t="n"/>
      <c r="D459" s="49" t="n"/>
      <c r="E459" s="49">
        <f>IFERROR(VLOOKUP(D459,'Stock Master'!$A$2:$L$49,2,FALSE),"")</f>
        <v/>
      </c>
      <c r="F459" s="51">
        <f>IFERROR(VLOOKUP(D459,'Stock Master'!$A$2:$L$49,5,FALSE),"")</f>
        <v/>
      </c>
      <c r="G459" s="51" t="n"/>
      <c r="H459" s="51" t="n"/>
      <c r="I459" s="51">
        <f>IFERROR(G459+H459,0)</f>
        <v/>
      </c>
      <c r="J459" s="51">
        <f>IFERROR(F459*G459,0)</f>
        <v/>
      </c>
      <c r="K459" s="51">
        <f>IFERROR(F459*H459,0)</f>
        <v/>
      </c>
      <c r="L459" s="49" t="n"/>
      <c r="M459" s="49" t="n"/>
    </row>
    <row r="460">
      <c r="A460" s="52" t="n"/>
      <c r="B460" s="49" t="n"/>
      <c r="C460" s="49" t="n"/>
      <c r="D460" s="49" t="n"/>
      <c r="E460" s="49">
        <f>IFERROR(VLOOKUP(D460,'Stock Master'!$A$2:$L$49,2,FALSE),"")</f>
        <v/>
      </c>
      <c r="F460" s="51">
        <f>IFERROR(VLOOKUP(D460,'Stock Master'!$A$2:$L$49,5,FALSE),"")</f>
        <v/>
      </c>
      <c r="G460" s="51" t="n"/>
      <c r="H460" s="51" t="n"/>
      <c r="I460" s="51">
        <f>IFERROR(G460+H460,0)</f>
        <v/>
      </c>
      <c r="J460" s="51">
        <f>IFERROR(F460*G460,0)</f>
        <v/>
      </c>
      <c r="K460" s="51">
        <f>IFERROR(F460*H460,0)</f>
        <v/>
      </c>
      <c r="L460" s="49" t="n"/>
      <c r="M460" s="49" t="n"/>
    </row>
    <row r="461">
      <c r="A461" s="52" t="n"/>
      <c r="B461" s="49" t="n"/>
      <c r="C461" s="49" t="n"/>
      <c r="D461" s="49" t="n"/>
      <c r="E461" s="49">
        <f>IFERROR(VLOOKUP(D461,'Stock Master'!$A$2:$L$49,2,FALSE),"")</f>
        <v/>
      </c>
      <c r="F461" s="51">
        <f>IFERROR(VLOOKUP(D461,'Stock Master'!$A$2:$L$49,5,FALSE),"")</f>
        <v/>
      </c>
      <c r="G461" s="51" t="n"/>
      <c r="H461" s="51" t="n"/>
      <c r="I461" s="51">
        <f>IFERROR(G461+H461,0)</f>
        <v/>
      </c>
      <c r="J461" s="51">
        <f>IFERROR(F461*G461,0)</f>
        <v/>
      </c>
      <c r="K461" s="51">
        <f>IFERROR(F461*H461,0)</f>
        <v/>
      </c>
      <c r="L461" s="49" t="n"/>
      <c r="M461" s="49" t="n"/>
    </row>
    <row r="462">
      <c r="A462" s="52" t="n"/>
      <c r="B462" s="49" t="n"/>
      <c r="C462" s="49" t="n"/>
      <c r="D462" s="49" t="n"/>
      <c r="E462" s="49">
        <f>IFERROR(VLOOKUP(D462,'Stock Master'!$A$2:$L$49,2,FALSE),"")</f>
        <v/>
      </c>
      <c r="F462" s="51">
        <f>IFERROR(VLOOKUP(D462,'Stock Master'!$A$2:$L$49,5,FALSE),"")</f>
        <v/>
      </c>
      <c r="G462" s="51" t="n"/>
      <c r="H462" s="51" t="n"/>
      <c r="I462" s="51">
        <f>IFERROR(G462+H462,0)</f>
        <v/>
      </c>
      <c r="J462" s="51">
        <f>IFERROR(F462*G462,0)</f>
        <v/>
      </c>
      <c r="K462" s="51">
        <f>IFERROR(F462*H462,0)</f>
        <v/>
      </c>
      <c r="L462" s="49" t="n"/>
      <c r="M462" s="49" t="n"/>
    </row>
    <row r="463">
      <c r="A463" s="52" t="n"/>
      <c r="B463" s="49" t="n"/>
      <c r="C463" s="49" t="n"/>
      <c r="D463" s="49" t="n"/>
      <c r="E463" s="49">
        <f>IFERROR(VLOOKUP(D463,'Stock Master'!$A$2:$L$49,2,FALSE),"")</f>
        <v/>
      </c>
      <c r="F463" s="51">
        <f>IFERROR(VLOOKUP(D463,'Stock Master'!$A$2:$L$49,5,FALSE),"")</f>
        <v/>
      </c>
      <c r="G463" s="51" t="n"/>
      <c r="H463" s="51" t="n"/>
      <c r="I463" s="51">
        <f>IFERROR(G463+H463,0)</f>
        <v/>
      </c>
      <c r="J463" s="51">
        <f>IFERROR(F463*G463,0)</f>
        <v/>
      </c>
      <c r="K463" s="51">
        <f>IFERROR(F463*H463,0)</f>
        <v/>
      </c>
      <c r="L463" s="49" t="n"/>
      <c r="M463" s="49" t="n"/>
    </row>
    <row r="464">
      <c r="A464" s="52" t="n"/>
      <c r="B464" s="49" t="n"/>
      <c r="C464" s="49" t="n"/>
      <c r="D464" s="49" t="n"/>
      <c r="E464" s="49">
        <f>IFERROR(VLOOKUP(D464,'Stock Master'!$A$2:$L$49,2,FALSE),"")</f>
        <v/>
      </c>
      <c r="F464" s="51">
        <f>IFERROR(VLOOKUP(D464,'Stock Master'!$A$2:$L$49,5,FALSE),"")</f>
        <v/>
      </c>
      <c r="G464" s="51" t="n"/>
      <c r="H464" s="51" t="n"/>
      <c r="I464" s="51">
        <f>IFERROR(G464+H464,0)</f>
        <v/>
      </c>
      <c r="J464" s="51">
        <f>IFERROR(F464*G464,0)</f>
        <v/>
      </c>
      <c r="K464" s="51">
        <f>IFERROR(F464*H464,0)</f>
        <v/>
      </c>
      <c r="L464" s="49" t="n"/>
      <c r="M464" s="49" t="n"/>
    </row>
    <row r="465">
      <c r="A465" s="52" t="n"/>
      <c r="B465" s="49" t="n"/>
      <c r="C465" s="49" t="n"/>
      <c r="D465" s="49" t="n"/>
      <c r="E465" s="49">
        <f>IFERROR(VLOOKUP(D465,'Stock Master'!$A$2:$L$49,2,FALSE),"")</f>
        <v/>
      </c>
      <c r="F465" s="51">
        <f>IFERROR(VLOOKUP(D465,'Stock Master'!$A$2:$L$49,5,FALSE),"")</f>
        <v/>
      </c>
      <c r="G465" s="51" t="n"/>
      <c r="H465" s="51" t="n"/>
      <c r="I465" s="51">
        <f>IFERROR(G465+H465,0)</f>
        <v/>
      </c>
      <c r="J465" s="51">
        <f>IFERROR(F465*G465,0)</f>
        <v/>
      </c>
      <c r="K465" s="51">
        <f>IFERROR(F465*H465,0)</f>
        <v/>
      </c>
      <c r="L465" s="49" t="n"/>
      <c r="M465" s="49" t="n"/>
    </row>
    <row r="466">
      <c r="A466" s="52" t="n"/>
      <c r="B466" s="49" t="n"/>
      <c r="C466" s="49" t="n"/>
      <c r="D466" s="49" t="n"/>
      <c r="E466" s="49">
        <f>IFERROR(VLOOKUP(D466,'Stock Master'!$A$2:$L$49,2,FALSE),"")</f>
        <v/>
      </c>
      <c r="F466" s="51">
        <f>IFERROR(VLOOKUP(D466,'Stock Master'!$A$2:$L$49,5,FALSE),"")</f>
        <v/>
      </c>
      <c r="G466" s="51" t="n"/>
      <c r="H466" s="51" t="n"/>
      <c r="I466" s="51">
        <f>IFERROR(G466+H466,0)</f>
        <v/>
      </c>
      <c r="J466" s="51">
        <f>IFERROR(F466*G466,0)</f>
        <v/>
      </c>
      <c r="K466" s="51">
        <f>IFERROR(F466*H466,0)</f>
        <v/>
      </c>
      <c r="L466" s="49" t="n"/>
      <c r="M466" s="49" t="n"/>
    </row>
    <row r="467">
      <c r="A467" s="52" t="n"/>
      <c r="B467" s="49" t="n"/>
      <c r="C467" s="49" t="n"/>
      <c r="D467" s="49" t="n"/>
      <c r="E467" s="49">
        <f>IFERROR(VLOOKUP(D467,'Stock Master'!$A$2:$L$49,2,FALSE),"")</f>
        <v/>
      </c>
      <c r="F467" s="51">
        <f>IFERROR(VLOOKUP(D467,'Stock Master'!$A$2:$L$49,5,FALSE),"")</f>
        <v/>
      </c>
      <c r="G467" s="51" t="n"/>
      <c r="H467" s="51" t="n"/>
      <c r="I467" s="51">
        <f>IFERROR(G467+H467,0)</f>
        <v/>
      </c>
      <c r="J467" s="51">
        <f>IFERROR(F467*G467,0)</f>
        <v/>
      </c>
      <c r="K467" s="51">
        <f>IFERROR(F467*H467,0)</f>
        <v/>
      </c>
      <c r="L467" s="49" t="n"/>
      <c r="M467" s="49" t="n"/>
    </row>
    <row r="468">
      <c r="A468" s="52" t="n"/>
      <c r="B468" s="49" t="n"/>
      <c r="C468" s="49" t="n"/>
      <c r="D468" s="49" t="n"/>
      <c r="E468" s="49">
        <f>IFERROR(VLOOKUP(D468,'Stock Master'!$A$2:$L$49,2,FALSE),"")</f>
        <v/>
      </c>
      <c r="F468" s="51">
        <f>IFERROR(VLOOKUP(D468,'Stock Master'!$A$2:$L$49,5,FALSE),"")</f>
        <v/>
      </c>
      <c r="G468" s="51" t="n"/>
      <c r="H468" s="51" t="n"/>
      <c r="I468" s="51">
        <f>IFERROR(G468+H468,0)</f>
        <v/>
      </c>
      <c r="J468" s="51">
        <f>IFERROR(F468*G468,0)</f>
        <v/>
      </c>
      <c r="K468" s="51">
        <f>IFERROR(F468*H468,0)</f>
        <v/>
      </c>
      <c r="L468" s="49" t="n"/>
      <c r="M468" s="49" t="n"/>
    </row>
    <row r="469">
      <c r="A469" s="52" t="n"/>
      <c r="B469" s="49" t="n"/>
      <c r="C469" s="49" t="n"/>
      <c r="D469" s="49" t="n"/>
      <c r="E469" s="49">
        <f>IFERROR(VLOOKUP(D469,'Stock Master'!$A$2:$L$49,2,FALSE),"")</f>
        <v/>
      </c>
      <c r="F469" s="51">
        <f>IFERROR(VLOOKUP(D469,'Stock Master'!$A$2:$L$49,5,FALSE),"")</f>
        <v/>
      </c>
      <c r="G469" s="51" t="n"/>
      <c r="H469" s="51" t="n"/>
      <c r="I469" s="51">
        <f>IFERROR(G469+H469,0)</f>
        <v/>
      </c>
      <c r="J469" s="51">
        <f>IFERROR(F469*G469,0)</f>
        <v/>
      </c>
      <c r="K469" s="51">
        <f>IFERROR(F469*H469,0)</f>
        <v/>
      </c>
      <c r="L469" s="49" t="n"/>
      <c r="M469" s="49" t="n"/>
    </row>
    <row r="470">
      <c r="A470" s="52" t="n"/>
      <c r="B470" s="49" t="n"/>
      <c r="C470" s="49" t="n"/>
      <c r="D470" s="49" t="n"/>
      <c r="E470" s="49">
        <f>IFERROR(VLOOKUP(D470,'Stock Master'!$A$2:$L$49,2,FALSE),"")</f>
        <v/>
      </c>
      <c r="F470" s="51">
        <f>IFERROR(VLOOKUP(D470,'Stock Master'!$A$2:$L$49,5,FALSE),"")</f>
        <v/>
      </c>
      <c r="G470" s="51" t="n"/>
      <c r="H470" s="51" t="n"/>
      <c r="I470" s="51">
        <f>IFERROR(G470+H470,0)</f>
        <v/>
      </c>
      <c r="J470" s="51">
        <f>IFERROR(F470*G470,0)</f>
        <v/>
      </c>
      <c r="K470" s="51">
        <f>IFERROR(F470*H470,0)</f>
        <v/>
      </c>
      <c r="L470" s="49" t="n"/>
      <c r="M470" s="49" t="n"/>
    </row>
    <row r="471">
      <c r="A471" s="52" t="n"/>
      <c r="B471" s="49" t="n"/>
      <c r="C471" s="49" t="n"/>
      <c r="D471" s="49" t="n"/>
      <c r="E471" s="49">
        <f>IFERROR(VLOOKUP(D471,'Stock Master'!$A$2:$L$49,2,FALSE),"")</f>
        <v/>
      </c>
      <c r="F471" s="51">
        <f>IFERROR(VLOOKUP(D471,'Stock Master'!$A$2:$L$49,5,FALSE),"")</f>
        <v/>
      </c>
      <c r="G471" s="51" t="n"/>
      <c r="H471" s="51" t="n"/>
      <c r="I471" s="51">
        <f>IFERROR(G471+H471,0)</f>
        <v/>
      </c>
      <c r="J471" s="51">
        <f>IFERROR(F471*G471,0)</f>
        <v/>
      </c>
      <c r="K471" s="51">
        <f>IFERROR(F471*H471,0)</f>
        <v/>
      </c>
      <c r="L471" s="49" t="n"/>
      <c r="M471" s="49" t="n"/>
    </row>
    <row r="472">
      <c r="A472" s="52" t="n"/>
      <c r="B472" s="49" t="n"/>
      <c r="C472" s="49" t="n"/>
      <c r="D472" s="49" t="n"/>
      <c r="E472" s="49">
        <f>IFERROR(VLOOKUP(D472,'Stock Master'!$A$2:$L$49,2,FALSE),"")</f>
        <v/>
      </c>
      <c r="F472" s="51">
        <f>IFERROR(VLOOKUP(D472,'Stock Master'!$A$2:$L$49,5,FALSE),"")</f>
        <v/>
      </c>
      <c r="G472" s="51" t="n"/>
      <c r="H472" s="51" t="n"/>
      <c r="I472" s="51">
        <f>IFERROR(G472+H472,0)</f>
        <v/>
      </c>
      <c r="J472" s="51">
        <f>IFERROR(F472*G472,0)</f>
        <v/>
      </c>
      <c r="K472" s="51">
        <f>IFERROR(F472*H472,0)</f>
        <v/>
      </c>
      <c r="L472" s="49" t="n"/>
      <c r="M472" s="49" t="n"/>
    </row>
    <row r="473">
      <c r="A473" s="52" t="n"/>
      <c r="B473" s="49" t="n"/>
      <c r="C473" s="49" t="n"/>
      <c r="D473" s="49" t="n"/>
      <c r="E473" s="49">
        <f>IFERROR(VLOOKUP(D473,'Stock Master'!$A$2:$L$49,2,FALSE),"")</f>
        <v/>
      </c>
      <c r="F473" s="51">
        <f>IFERROR(VLOOKUP(D473,'Stock Master'!$A$2:$L$49,5,FALSE),"")</f>
        <v/>
      </c>
      <c r="G473" s="51" t="n"/>
      <c r="H473" s="51" t="n"/>
      <c r="I473" s="51">
        <f>IFERROR(G473+H473,0)</f>
        <v/>
      </c>
      <c r="J473" s="51">
        <f>IFERROR(F473*G473,0)</f>
        <v/>
      </c>
      <c r="K473" s="51">
        <f>IFERROR(F473*H473,0)</f>
        <v/>
      </c>
      <c r="L473" s="49" t="n"/>
      <c r="M473" s="49" t="n"/>
    </row>
    <row r="474">
      <c r="A474" s="52" t="n"/>
      <c r="B474" s="49" t="n"/>
      <c r="C474" s="49" t="n"/>
      <c r="D474" s="49" t="n"/>
      <c r="E474" s="49">
        <f>IFERROR(VLOOKUP(D474,'Stock Master'!$A$2:$L$49,2,FALSE),"")</f>
        <v/>
      </c>
      <c r="F474" s="51">
        <f>IFERROR(VLOOKUP(D474,'Stock Master'!$A$2:$L$49,5,FALSE),"")</f>
        <v/>
      </c>
      <c r="G474" s="51" t="n"/>
      <c r="H474" s="51" t="n"/>
      <c r="I474" s="51">
        <f>IFERROR(G474+H474,0)</f>
        <v/>
      </c>
      <c r="J474" s="51">
        <f>IFERROR(F474*G474,0)</f>
        <v/>
      </c>
      <c r="K474" s="51">
        <f>IFERROR(F474*H474,0)</f>
        <v/>
      </c>
      <c r="L474" s="49" t="n"/>
      <c r="M474" s="49" t="n"/>
    </row>
    <row r="475">
      <c r="A475" s="52" t="n"/>
      <c r="B475" s="49" t="n"/>
      <c r="C475" s="49" t="n"/>
      <c r="D475" s="49" t="n"/>
      <c r="E475" s="49">
        <f>IFERROR(VLOOKUP(D475,'Stock Master'!$A$2:$L$49,2,FALSE),"")</f>
        <v/>
      </c>
      <c r="F475" s="51">
        <f>IFERROR(VLOOKUP(D475,'Stock Master'!$A$2:$L$49,5,FALSE),"")</f>
        <v/>
      </c>
      <c r="G475" s="51" t="n"/>
      <c r="H475" s="51" t="n"/>
      <c r="I475" s="51">
        <f>IFERROR(G475+H475,0)</f>
        <v/>
      </c>
      <c r="J475" s="51">
        <f>IFERROR(F475*G475,0)</f>
        <v/>
      </c>
      <c r="K475" s="51">
        <f>IFERROR(F475*H475,0)</f>
        <v/>
      </c>
      <c r="L475" s="49" t="n"/>
      <c r="M475" s="49" t="n"/>
    </row>
    <row r="476">
      <c r="A476" s="52" t="n"/>
      <c r="B476" s="49" t="n"/>
      <c r="C476" s="49" t="n"/>
      <c r="D476" s="49" t="n"/>
      <c r="E476" s="49">
        <f>IFERROR(VLOOKUP(D476,'Stock Master'!$A$2:$L$49,2,FALSE),"")</f>
        <v/>
      </c>
      <c r="F476" s="51">
        <f>IFERROR(VLOOKUP(D476,'Stock Master'!$A$2:$L$49,5,FALSE),"")</f>
        <v/>
      </c>
      <c r="G476" s="51" t="n"/>
      <c r="H476" s="51" t="n"/>
      <c r="I476" s="51">
        <f>IFERROR(G476+H476,0)</f>
        <v/>
      </c>
      <c r="J476" s="51">
        <f>IFERROR(F476*G476,0)</f>
        <v/>
      </c>
      <c r="K476" s="51">
        <f>IFERROR(F476*H476,0)</f>
        <v/>
      </c>
      <c r="L476" s="49" t="n"/>
      <c r="M476" s="49" t="n"/>
    </row>
    <row r="477">
      <c r="A477" s="52" t="n"/>
      <c r="B477" s="49" t="n"/>
      <c r="C477" s="49" t="n"/>
      <c r="D477" s="49" t="n"/>
      <c r="E477" s="49">
        <f>IFERROR(VLOOKUP(D477,'Stock Master'!$A$2:$L$49,2,FALSE),"")</f>
        <v/>
      </c>
      <c r="F477" s="51">
        <f>IFERROR(VLOOKUP(D477,'Stock Master'!$A$2:$L$49,5,FALSE),"")</f>
        <v/>
      </c>
      <c r="G477" s="51" t="n"/>
      <c r="H477" s="51" t="n"/>
      <c r="I477" s="51">
        <f>IFERROR(G477+H477,0)</f>
        <v/>
      </c>
      <c r="J477" s="51">
        <f>IFERROR(F477*G477,0)</f>
        <v/>
      </c>
      <c r="K477" s="51">
        <f>IFERROR(F477*H477,0)</f>
        <v/>
      </c>
      <c r="L477" s="49" t="n"/>
      <c r="M477" s="49" t="n"/>
    </row>
    <row r="478">
      <c r="A478" s="52" t="n"/>
      <c r="B478" s="49" t="n"/>
      <c r="C478" s="49" t="n"/>
      <c r="D478" s="49" t="n"/>
      <c r="E478" s="49">
        <f>IFERROR(VLOOKUP(D478,'Stock Master'!$A$2:$L$49,2,FALSE),"")</f>
        <v/>
      </c>
      <c r="F478" s="51">
        <f>IFERROR(VLOOKUP(D478,'Stock Master'!$A$2:$L$49,5,FALSE),"")</f>
        <v/>
      </c>
      <c r="G478" s="51" t="n"/>
      <c r="H478" s="51" t="n"/>
      <c r="I478" s="51">
        <f>IFERROR(G478+H478,0)</f>
        <v/>
      </c>
      <c r="J478" s="51">
        <f>IFERROR(F478*G478,0)</f>
        <v/>
      </c>
      <c r="K478" s="51">
        <f>IFERROR(F478*H478,0)</f>
        <v/>
      </c>
      <c r="L478" s="49" t="n"/>
      <c r="M478" s="49" t="n"/>
    </row>
    <row r="479">
      <c r="A479" s="52" t="n"/>
      <c r="B479" s="49" t="n"/>
      <c r="C479" s="49" t="n"/>
      <c r="D479" s="49" t="n"/>
      <c r="E479" s="49">
        <f>IFERROR(VLOOKUP(D479,'Stock Master'!$A$2:$L$49,2,FALSE),"")</f>
        <v/>
      </c>
      <c r="F479" s="51">
        <f>IFERROR(VLOOKUP(D479,'Stock Master'!$A$2:$L$49,5,FALSE),"")</f>
        <v/>
      </c>
      <c r="G479" s="51" t="n"/>
      <c r="H479" s="51" t="n"/>
      <c r="I479" s="51">
        <f>IFERROR(G479+H479,0)</f>
        <v/>
      </c>
      <c r="J479" s="51">
        <f>IFERROR(F479*G479,0)</f>
        <v/>
      </c>
      <c r="K479" s="51">
        <f>IFERROR(F479*H479,0)</f>
        <v/>
      </c>
      <c r="L479" s="49" t="n"/>
      <c r="M479" s="49" t="n"/>
    </row>
    <row r="480">
      <c r="A480" s="52" t="n"/>
      <c r="B480" s="49" t="n"/>
      <c r="C480" s="49" t="n"/>
      <c r="D480" s="49" t="n"/>
      <c r="E480" s="49">
        <f>IFERROR(VLOOKUP(D480,'Stock Master'!$A$2:$L$49,2,FALSE),"")</f>
        <v/>
      </c>
      <c r="F480" s="51">
        <f>IFERROR(VLOOKUP(D480,'Stock Master'!$A$2:$L$49,5,FALSE),"")</f>
        <v/>
      </c>
      <c r="G480" s="51" t="n"/>
      <c r="H480" s="51" t="n"/>
      <c r="I480" s="51">
        <f>IFERROR(G480+H480,0)</f>
        <v/>
      </c>
      <c r="J480" s="51">
        <f>IFERROR(F480*G480,0)</f>
        <v/>
      </c>
      <c r="K480" s="51">
        <f>IFERROR(F480*H480,0)</f>
        <v/>
      </c>
      <c r="L480" s="49" t="n"/>
      <c r="M480" s="49" t="n"/>
    </row>
    <row r="481">
      <c r="A481" s="52" t="n"/>
      <c r="B481" s="49" t="n"/>
      <c r="C481" s="49" t="n"/>
      <c r="D481" s="49" t="n"/>
      <c r="E481" s="49">
        <f>IFERROR(VLOOKUP(D481,'Stock Master'!$A$2:$L$49,2,FALSE),"")</f>
        <v/>
      </c>
      <c r="F481" s="51">
        <f>IFERROR(VLOOKUP(D481,'Stock Master'!$A$2:$L$49,5,FALSE),"")</f>
        <v/>
      </c>
      <c r="G481" s="51" t="n"/>
      <c r="H481" s="51" t="n"/>
      <c r="I481" s="51">
        <f>IFERROR(G481+H481,0)</f>
        <v/>
      </c>
      <c r="J481" s="51">
        <f>IFERROR(F481*G481,0)</f>
        <v/>
      </c>
      <c r="K481" s="51">
        <f>IFERROR(F481*H481,0)</f>
        <v/>
      </c>
      <c r="L481" s="49" t="n"/>
      <c r="M481" s="49" t="n"/>
    </row>
    <row r="482">
      <c r="A482" s="52" t="n"/>
      <c r="B482" s="49" t="n"/>
      <c r="C482" s="49" t="n"/>
      <c r="D482" s="49" t="n"/>
      <c r="E482" s="49">
        <f>IFERROR(VLOOKUP(D482,'Stock Master'!$A$2:$L$49,2,FALSE),"")</f>
        <v/>
      </c>
      <c r="F482" s="51">
        <f>IFERROR(VLOOKUP(D482,'Stock Master'!$A$2:$L$49,5,FALSE),"")</f>
        <v/>
      </c>
      <c r="G482" s="51" t="n"/>
      <c r="H482" s="51" t="n"/>
      <c r="I482" s="51">
        <f>IFERROR(G482+H482,0)</f>
        <v/>
      </c>
      <c r="J482" s="51">
        <f>IFERROR(F482*G482,0)</f>
        <v/>
      </c>
      <c r="K482" s="51">
        <f>IFERROR(F482*H482,0)</f>
        <v/>
      </c>
      <c r="L482" s="49" t="n"/>
      <c r="M482" s="49" t="n"/>
    </row>
    <row r="483">
      <c r="A483" s="52" t="n"/>
      <c r="B483" s="49" t="n"/>
      <c r="C483" s="49" t="n"/>
      <c r="D483" s="49" t="n"/>
      <c r="E483" s="49">
        <f>IFERROR(VLOOKUP(D483,'Stock Master'!$A$2:$L$49,2,FALSE),"")</f>
        <v/>
      </c>
      <c r="F483" s="51">
        <f>IFERROR(VLOOKUP(D483,'Stock Master'!$A$2:$L$49,5,FALSE),"")</f>
        <v/>
      </c>
      <c r="G483" s="51" t="n"/>
      <c r="H483" s="51" t="n"/>
      <c r="I483" s="51">
        <f>IFERROR(G483+H483,0)</f>
        <v/>
      </c>
      <c r="J483" s="51">
        <f>IFERROR(F483*G483,0)</f>
        <v/>
      </c>
      <c r="K483" s="51">
        <f>IFERROR(F483*H483,0)</f>
        <v/>
      </c>
      <c r="L483" s="49" t="n"/>
      <c r="M483" s="49" t="n"/>
    </row>
    <row r="484">
      <c r="A484" s="52" t="n"/>
      <c r="B484" s="49" t="n"/>
      <c r="C484" s="49" t="n"/>
      <c r="D484" s="49" t="n"/>
      <c r="E484" s="49">
        <f>IFERROR(VLOOKUP(D484,'Stock Master'!$A$2:$L$49,2,FALSE),"")</f>
        <v/>
      </c>
      <c r="F484" s="51">
        <f>IFERROR(VLOOKUP(D484,'Stock Master'!$A$2:$L$49,5,FALSE),"")</f>
        <v/>
      </c>
      <c r="G484" s="51" t="n"/>
      <c r="H484" s="51" t="n"/>
      <c r="I484" s="51">
        <f>IFERROR(G484+H484,0)</f>
        <v/>
      </c>
      <c r="J484" s="51">
        <f>IFERROR(F484*G484,0)</f>
        <v/>
      </c>
      <c r="K484" s="51">
        <f>IFERROR(F484*H484,0)</f>
        <v/>
      </c>
      <c r="L484" s="49" t="n"/>
      <c r="M484" s="49" t="n"/>
    </row>
    <row r="485">
      <c r="A485" s="52" t="n"/>
      <c r="B485" s="49" t="n"/>
      <c r="C485" s="49" t="n"/>
      <c r="D485" s="49" t="n"/>
      <c r="E485" s="49">
        <f>IFERROR(VLOOKUP(D485,'Stock Master'!$A$2:$L$49,2,FALSE),"")</f>
        <v/>
      </c>
      <c r="F485" s="51">
        <f>IFERROR(VLOOKUP(D485,'Stock Master'!$A$2:$L$49,5,FALSE),"")</f>
        <v/>
      </c>
      <c r="G485" s="51" t="n"/>
      <c r="H485" s="51" t="n"/>
      <c r="I485" s="51">
        <f>IFERROR(G485+H485,0)</f>
        <v/>
      </c>
      <c r="J485" s="51">
        <f>IFERROR(F485*G485,0)</f>
        <v/>
      </c>
      <c r="K485" s="51">
        <f>IFERROR(F485*H485,0)</f>
        <v/>
      </c>
      <c r="L485" s="49" t="n"/>
      <c r="M485" s="49" t="n"/>
    </row>
    <row r="486">
      <c r="A486" s="52" t="n"/>
      <c r="B486" s="49" t="n"/>
      <c r="C486" s="49" t="n"/>
      <c r="D486" s="49" t="n"/>
      <c r="E486" s="49">
        <f>IFERROR(VLOOKUP(D486,'Stock Master'!$A$2:$L$49,2,FALSE),"")</f>
        <v/>
      </c>
      <c r="F486" s="51">
        <f>IFERROR(VLOOKUP(D486,'Stock Master'!$A$2:$L$49,5,FALSE),"")</f>
        <v/>
      </c>
      <c r="G486" s="51" t="n"/>
      <c r="H486" s="51" t="n"/>
      <c r="I486" s="51">
        <f>IFERROR(G486+H486,0)</f>
        <v/>
      </c>
      <c r="J486" s="51">
        <f>IFERROR(F486*G486,0)</f>
        <v/>
      </c>
      <c r="K486" s="51">
        <f>IFERROR(F486*H486,0)</f>
        <v/>
      </c>
      <c r="L486" s="49" t="n"/>
      <c r="M486" s="49" t="n"/>
    </row>
    <row r="487">
      <c r="A487" s="52" t="n"/>
      <c r="B487" s="49" t="n"/>
      <c r="C487" s="49" t="n"/>
      <c r="D487" s="49" t="n"/>
      <c r="E487" s="49">
        <f>IFERROR(VLOOKUP(D487,'Stock Master'!$A$2:$L$49,2,FALSE),"")</f>
        <v/>
      </c>
      <c r="F487" s="51">
        <f>IFERROR(VLOOKUP(D487,'Stock Master'!$A$2:$L$49,5,FALSE),"")</f>
        <v/>
      </c>
      <c r="G487" s="51" t="n"/>
      <c r="H487" s="51" t="n"/>
      <c r="I487" s="51">
        <f>IFERROR(G487+H487,0)</f>
        <v/>
      </c>
      <c r="J487" s="51">
        <f>IFERROR(F487*G487,0)</f>
        <v/>
      </c>
      <c r="K487" s="51">
        <f>IFERROR(F487*H487,0)</f>
        <v/>
      </c>
      <c r="L487" s="49" t="n"/>
      <c r="M487" s="49" t="n"/>
    </row>
    <row r="488">
      <c r="A488" s="52" t="n"/>
      <c r="B488" s="49" t="n"/>
      <c r="C488" s="49" t="n"/>
      <c r="D488" s="49" t="n"/>
      <c r="E488" s="49">
        <f>IFERROR(VLOOKUP(D488,'Stock Master'!$A$2:$L$49,2,FALSE),"")</f>
        <v/>
      </c>
      <c r="F488" s="51">
        <f>IFERROR(VLOOKUP(D488,'Stock Master'!$A$2:$L$49,5,FALSE),"")</f>
        <v/>
      </c>
      <c r="G488" s="51" t="n"/>
      <c r="H488" s="51" t="n"/>
      <c r="I488" s="51">
        <f>IFERROR(G488+H488,0)</f>
        <v/>
      </c>
      <c r="J488" s="51">
        <f>IFERROR(F488*G488,0)</f>
        <v/>
      </c>
      <c r="K488" s="51">
        <f>IFERROR(F488*H488,0)</f>
        <v/>
      </c>
      <c r="L488" s="49" t="n"/>
      <c r="M488" s="49" t="n"/>
    </row>
    <row r="489">
      <c r="A489" s="52" t="n"/>
      <c r="B489" s="49" t="n"/>
      <c r="C489" s="49" t="n"/>
      <c r="D489" s="49" t="n"/>
      <c r="E489" s="49">
        <f>IFERROR(VLOOKUP(D489,'Stock Master'!$A$2:$L$49,2,FALSE),"")</f>
        <v/>
      </c>
      <c r="F489" s="51">
        <f>IFERROR(VLOOKUP(D489,'Stock Master'!$A$2:$L$49,5,FALSE),"")</f>
        <v/>
      </c>
      <c r="G489" s="51" t="n"/>
      <c r="H489" s="51" t="n"/>
      <c r="I489" s="51">
        <f>IFERROR(G489+H489,0)</f>
        <v/>
      </c>
      <c r="J489" s="51">
        <f>IFERROR(F489*G489,0)</f>
        <v/>
      </c>
      <c r="K489" s="51">
        <f>IFERROR(F489*H489,0)</f>
        <v/>
      </c>
      <c r="L489" s="49" t="n"/>
      <c r="M489" s="49" t="n"/>
    </row>
    <row r="490">
      <c r="A490" s="52" t="n"/>
      <c r="B490" s="49" t="n"/>
      <c r="C490" s="49" t="n"/>
      <c r="D490" s="49" t="n"/>
      <c r="E490" s="49">
        <f>IFERROR(VLOOKUP(D490,'Stock Master'!$A$2:$L$49,2,FALSE),"")</f>
        <v/>
      </c>
      <c r="F490" s="51">
        <f>IFERROR(VLOOKUP(D490,'Stock Master'!$A$2:$L$49,5,FALSE),"")</f>
        <v/>
      </c>
      <c r="G490" s="51" t="n"/>
      <c r="H490" s="51" t="n"/>
      <c r="I490" s="51">
        <f>IFERROR(G490+H490,0)</f>
        <v/>
      </c>
      <c r="J490" s="51">
        <f>IFERROR(F490*G490,0)</f>
        <v/>
      </c>
      <c r="K490" s="51">
        <f>IFERROR(F490*H490,0)</f>
        <v/>
      </c>
      <c r="L490" s="49" t="n"/>
      <c r="M490" s="49" t="n"/>
    </row>
    <row r="491">
      <c r="A491" s="52" t="n"/>
      <c r="B491" s="49" t="n"/>
      <c r="C491" s="49" t="n"/>
      <c r="D491" s="49" t="n"/>
      <c r="E491" s="49">
        <f>IFERROR(VLOOKUP(D491,'Stock Master'!$A$2:$L$49,2,FALSE),"")</f>
        <v/>
      </c>
      <c r="F491" s="51">
        <f>IFERROR(VLOOKUP(D491,'Stock Master'!$A$2:$L$49,5,FALSE),"")</f>
        <v/>
      </c>
      <c r="G491" s="51" t="n"/>
      <c r="H491" s="51" t="n"/>
      <c r="I491" s="51">
        <f>IFERROR(G491+H491,0)</f>
        <v/>
      </c>
      <c r="J491" s="51">
        <f>IFERROR(F491*G491,0)</f>
        <v/>
      </c>
      <c r="K491" s="51">
        <f>IFERROR(F491*H491,0)</f>
        <v/>
      </c>
      <c r="L491" s="49" t="n"/>
      <c r="M491" s="49" t="n"/>
    </row>
    <row r="492">
      <c r="A492" s="52" t="n"/>
      <c r="B492" s="49" t="n"/>
      <c r="C492" s="49" t="n"/>
      <c r="D492" s="49" t="n"/>
      <c r="E492" s="49">
        <f>IFERROR(VLOOKUP(D492,'Stock Master'!$A$2:$L$49,2,FALSE),"")</f>
        <v/>
      </c>
      <c r="F492" s="51">
        <f>IFERROR(VLOOKUP(D492,'Stock Master'!$A$2:$L$49,5,FALSE),"")</f>
        <v/>
      </c>
      <c r="G492" s="51" t="n"/>
      <c r="H492" s="51" t="n"/>
      <c r="I492" s="51">
        <f>IFERROR(G492+H492,0)</f>
        <v/>
      </c>
      <c r="J492" s="51">
        <f>IFERROR(F492*G492,0)</f>
        <v/>
      </c>
      <c r="K492" s="51">
        <f>IFERROR(F492*H492,0)</f>
        <v/>
      </c>
      <c r="L492" s="49" t="n"/>
      <c r="M492" s="49" t="n"/>
    </row>
    <row r="493">
      <c r="A493" s="52" t="n"/>
      <c r="B493" s="49" t="n"/>
      <c r="C493" s="49" t="n"/>
      <c r="D493" s="49" t="n"/>
      <c r="E493" s="49">
        <f>IFERROR(VLOOKUP(D493,'Stock Master'!$A$2:$L$49,2,FALSE),"")</f>
        <v/>
      </c>
      <c r="F493" s="51">
        <f>IFERROR(VLOOKUP(D493,'Stock Master'!$A$2:$L$49,5,FALSE),"")</f>
        <v/>
      </c>
      <c r="G493" s="51" t="n"/>
      <c r="H493" s="51" t="n"/>
      <c r="I493" s="51">
        <f>IFERROR(G493+H493,0)</f>
        <v/>
      </c>
      <c r="J493" s="51">
        <f>IFERROR(F493*G493,0)</f>
        <v/>
      </c>
      <c r="K493" s="51">
        <f>IFERROR(F493*H493,0)</f>
        <v/>
      </c>
      <c r="L493" s="49" t="n"/>
      <c r="M493" s="49" t="n"/>
    </row>
    <row r="494">
      <c r="A494" s="52" t="n"/>
      <c r="B494" s="49" t="n"/>
      <c r="C494" s="49" t="n"/>
      <c r="D494" s="49" t="n"/>
      <c r="E494" s="49">
        <f>IFERROR(VLOOKUP(D494,'Stock Master'!$A$2:$L$49,2,FALSE),"")</f>
        <v/>
      </c>
      <c r="F494" s="51">
        <f>IFERROR(VLOOKUP(D494,'Stock Master'!$A$2:$L$49,5,FALSE),"")</f>
        <v/>
      </c>
      <c r="G494" s="51" t="n"/>
      <c r="H494" s="51" t="n"/>
      <c r="I494" s="51">
        <f>IFERROR(G494+H494,0)</f>
        <v/>
      </c>
      <c r="J494" s="51">
        <f>IFERROR(F494*G494,0)</f>
        <v/>
      </c>
      <c r="K494" s="51">
        <f>IFERROR(F494*H494,0)</f>
        <v/>
      </c>
      <c r="L494" s="49" t="n"/>
      <c r="M494" s="49" t="n"/>
    </row>
    <row r="495">
      <c r="A495" s="52" t="n"/>
      <c r="B495" s="49" t="n"/>
      <c r="C495" s="49" t="n"/>
      <c r="D495" s="49" t="n"/>
      <c r="E495" s="49">
        <f>IFERROR(VLOOKUP(D495,'Stock Master'!$A$2:$L$49,2,FALSE),"")</f>
        <v/>
      </c>
      <c r="F495" s="51">
        <f>IFERROR(VLOOKUP(D495,'Stock Master'!$A$2:$L$49,5,FALSE),"")</f>
        <v/>
      </c>
      <c r="G495" s="51" t="n"/>
      <c r="H495" s="51" t="n"/>
      <c r="I495" s="51">
        <f>IFERROR(G495+H495,0)</f>
        <v/>
      </c>
      <c r="J495" s="51">
        <f>IFERROR(F495*G495,0)</f>
        <v/>
      </c>
      <c r="K495" s="51">
        <f>IFERROR(F495*H495,0)</f>
        <v/>
      </c>
      <c r="L495" s="49" t="n"/>
      <c r="M495" s="49" t="n"/>
    </row>
    <row r="496">
      <c r="A496" s="52" t="n"/>
      <c r="B496" s="49" t="n"/>
      <c r="C496" s="49" t="n"/>
      <c r="D496" s="49" t="n"/>
      <c r="E496" s="49">
        <f>IFERROR(VLOOKUP(D496,'Stock Master'!$A$2:$L$49,2,FALSE),"")</f>
        <v/>
      </c>
      <c r="F496" s="51">
        <f>IFERROR(VLOOKUP(D496,'Stock Master'!$A$2:$L$49,5,FALSE),"")</f>
        <v/>
      </c>
      <c r="G496" s="51" t="n"/>
      <c r="H496" s="51" t="n"/>
      <c r="I496" s="51">
        <f>IFERROR(G496+H496,0)</f>
        <v/>
      </c>
      <c r="J496" s="51">
        <f>IFERROR(F496*G496,0)</f>
        <v/>
      </c>
      <c r="K496" s="51">
        <f>IFERROR(F496*H496,0)</f>
        <v/>
      </c>
      <c r="L496" s="49" t="n"/>
      <c r="M496" s="49" t="n"/>
    </row>
    <row r="497">
      <c r="A497" s="52" t="n"/>
      <c r="B497" s="49" t="n"/>
      <c r="C497" s="49" t="n"/>
      <c r="D497" s="49" t="n"/>
      <c r="E497" s="49">
        <f>IFERROR(VLOOKUP(D497,'Stock Master'!$A$2:$L$49,2,FALSE),"")</f>
        <v/>
      </c>
      <c r="F497" s="51">
        <f>IFERROR(VLOOKUP(D497,'Stock Master'!$A$2:$L$49,5,FALSE),"")</f>
        <v/>
      </c>
      <c r="G497" s="51" t="n"/>
      <c r="H497" s="51" t="n"/>
      <c r="I497" s="51">
        <f>IFERROR(G497+H497,0)</f>
        <v/>
      </c>
      <c r="J497" s="51">
        <f>IFERROR(F497*G497,0)</f>
        <v/>
      </c>
      <c r="K497" s="51">
        <f>IFERROR(F497*H497,0)</f>
        <v/>
      </c>
      <c r="L497" s="49" t="n"/>
      <c r="M497" s="49" t="n"/>
    </row>
    <row r="498">
      <c r="A498" s="52" t="n"/>
      <c r="B498" s="49" t="n"/>
      <c r="C498" s="49" t="n"/>
      <c r="D498" s="49" t="n"/>
      <c r="E498" s="49">
        <f>IFERROR(VLOOKUP(D498,'Stock Master'!$A$2:$L$49,2,FALSE),"")</f>
        <v/>
      </c>
      <c r="F498" s="51">
        <f>IFERROR(VLOOKUP(D498,'Stock Master'!$A$2:$L$49,5,FALSE),"")</f>
        <v/>
      </c>
      <c r="G498" s="51" t="n"/>
      <c r="H498" s="51" t="n"/>
      <c r="I498" s="51">
        <f>IFERROR(G498+H498,0)</f>
        <v/>
      </c>
      <c r="J498" s="51">
        <f>IFERROR(F498*G498,0)</f>
        <v/>
      </c>
      <c r="K498" s="51">
        <f>IFERROR(F498*H498,0)</f>
        <v/>
      </c>
      <c r="L498" s="49" t="n"/>
      <c r="M498" s="49" t="n"/>
    </row>
    <row r="499">
      <c r="A499" s="52" t="n"/>
      <c r="B499" s="49" t="n"/>
      <c r="C499" s="49" t="n"/>
      <c r="D499" s="49" t="n"/>
      <c r="E499" s="49">
        <f>IFERROR(VLOOKUP(D499,'Stock Master'!$A$2:$L$49,2,FALSE),"")</f>
        <v/>
      </c>
      <c r="F499" s="51">
        <f>IFERROR(VLOOKUP(D499,'Stock Master'!$A$2:$L$49,5,FALSE),"")</f>
        <v/>
      </c>
      <c r="G499" s="51" t="n"/>
      <c r="H499" s="51" t="n"/>
      <c r="I499" s="51">
        <f>IFERROR(G499+H499,0)</f>
        <v/>
      </c>
      <c r="J499" s="51">
        <f>IFERROR(F499*G499,0)</f>
        <v/>
      </c>
      <c r="K499" s="51">
        <f>IFERROR(F499*H499,0)</f>
        <v/>
      </c>
      <c r="L499" s="49" t="n"/>
      <c r="M499" s="49" t="n"/>
    </row>
    <row r="500">
      <c r="A500" s="52" t="n"/>
      <c r="B500" s="49" t="n"/>
      <c r="C500" s="49" t="n"/>
      <c r="D500" s="49" t="n"/>
      <c r="E500" s="49">
        <f>IFERROR(VLOOKUP(D500,'Stock Master'!$A$2:$L$49,2,FALSE),"")</f>
        <v/>
      </c>
      <c r="F500" s="51">
        <f>IFERROR(VLOOKUP(D500,'Stock Master'!$A$2:$L$49,5,FALSE),"")</f>
        <v/>
      </c>
      <c r="G500" s="51" t="n"/>
      <c r="H500" s="51" t="n"/>
      <c r="I500" s="51">
        <f>IFERROR(G500+H500,0)</f>
        <v/>
      </c>
      <c r="J500" s="51">
        <f>IFERROR(F500*G500,0)</f>
        <v/>
      </c>
      <c r="K500" s="51">
        <f>IFERROR(F500*H500,0)</f>
        <v/>
      </c>
      <c r="L500" s="49" t="n"/>
      <c r="M500" s="49" t="n"/>
    </row>
    <row r="501">
      <c r="A501" s="52" t="n"/>
      <c r="B501" s="49" t="n"/>
      <c r="C501" s="49" t="n"/>
      <c r="D501" s="49" t="n"/>
      <c r="E501" s="49">
        <f>IFERROR(VLOOKUP(D501,'Stock Master'!$A$2:$L$49,2,FALSE),"")</f>
        <v/>
      </c>
      <c r="F501" s="51">
        <f>IFERROR(VLOOKUP(D501,'Stock Master'!$A$2:$L$49,5,FALSE),"")</f>
        <v/>
      </c>
      <c r="G501" s="51" t="n"/>
      <c r="H501" s="51" t="n"/>
      <c r="I501" s="51">
        <f>IFERROR(G501+H501,0)</f>
        <v/>
      </c>
      <c r="J501" s="51">
        <f>IFERROR(F501*G501,0)</f>
        <v/>
      </c>
      <c r="K501" s="51">
        <f>IFERROR(F501*H501,0)</f>
        <v/>
      </c>
      <c r="L501" s="49" t="n"/>
      <c r="M501" s="49" t="n"/>
    </row>
  </sheetData>
  <dataValidations count="1">
    <dataValidation sqref="L2:L501" showDropDown="0" showInputMessage="0" showErrorMessage="0" allowBlank="1" type="list">
      <formula1>"Cash,EcoCash,Bank Transfer,Credit,Mixed"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22" customWidth="1" min="4" max="4"/>
    <col width="14" customWidth="1" min="5" max="5"/>
    <col width="16" customWidth="1" min="6" max="6"/>
    <col width="26" customWidth="1" min="7" max="7"/>
  </cols>
  <sheetData>
    <row r="1" ht="30" customHeight="1">
      <c r="A1" s="50" t="inlineStr">
        <is>
          <t>Date</t>
        </is>
      </c>
      <c r="B1" s="50" t="inlineStr">
        <is>
          <t>Expense category</t>
        </is>
      </c>
      <c r="C1" s="50" t="inlineStr">
        <is>
          <t>Description</t>
        </is>
      </c>
      <c r="D1" s="50" t="inlineStr">
        <is>
          <t>Paid to</t>
        </is>
      </c>
      <c r="E1" s="50" t="inlineStr">
        <is>
          <t>Amount RMB</t>
        </is>
      </c>
      <c r="F1" s="50" t="inlineStr">
        <is>
          <t>Payment method</t>
        </is>
      </c>
      <c r="G1" s="50" t="inlineStr">
        <is>
          <t>Notes</t>
        </is>
      </c>
    </row>
    <row r="2">
      <c r="A2" s="52" t="n"/>
      <c r="B2" s="49" t="n"/>
      <c r="C2" s="49" t="n"/>
      <c r="D2" s="49" t="n"/>
      <c r="E2" s="51" t="n"/>
      <c r="F2" s="49" t="n"/>
      <c r="G2" s="49" t="n"/>
    </row>
    <row r="3">
      <c r="A3" s="52" t="n"/>
      <c r="B3" s="49" t="n"/>
      <c r="C3" s="49" t="n"/>
      <c r="D3" s="49" t="n"/>
      <c r="E3" s="51" t="n"/>
      <c r="F3" s="49" t="n"/>
      <c r="G3" s="49" t="n"/>
    </row>
    <row r="4">
      <c r="A4" s="52" t="n"/>
      <c r="B4" s="49" t="n"/>
      <c r="C4" s="49" t="n"/>
      <c r="D4" s="49" t="n"/>
      <c r="E4" s="51" t="n"/>
      <c r="F4" s="49" t="n"/>
      <c r="G4" s="49" t="n"/>
    </row>
    <row r="5">
      <c r="A5" s="52" t="n"/>
      <c r="B5" s="49" t="n"/>
      <c r="C5" s="49" t="n"/>
      <c r="D5" s="49" t="n"/>
      <c r="E5" s="51" t="n"/>
      <c r="F5" s="49" t="n"/>
      <c r="G5" s="49" t="n"/>
    </row>
    <row r="6">
      <c r="A6" s="52" t="n"/>
      <c r="B6" s="49" t="n"/>
      <c r="C6" s="49" t="n"/>
      <c r="D6" s="49" t="n"/>
      <c r="E6" s="51" t="n"/>
      <c r="F6" s="49" t="n"/>
      <c r="G6" s="49" t="n"/>
    </row>
    <row r="7">
      <c r="A7" s="52" t="n"/>
      <c r="B7" s="49" t="n"/>
      <c r="C7" s="49" t="n"/>
      <c r="D7" s="49" t="n"/>
      <c r="E7" s="51" t="n"/>
      <c r="F7" s="49" t="n"/>
      <c r="G7" s="49" t="n"/>
    </row>
    <row r="8">
      <c r="A8" s="52" t="n"/>
      <c r="B8" s="49" t="n"/>
      <c r="C8" s="49" t="n"/>
      <c r="D8" s="49" t="n"/>
      <c r="E8" s="51" t="n"/>
      <c r="F8" s="49" t="n"/>
      <c r="G8" s="49" t="n"/>
    </row>
    <row r="9">
      <c r="A9" s="52" t="n"/>
      <c r="B9" s="49" t="n"/>
      <c r="C9" s="49" t="n"/>
      <c r="D9" s="49" t="n"/>
      <c r="E9" s="51" t="n"/>
      <c r="F9" s="49" t="n"/>
      <c r="G9" s="49" t="n"/>
    </row>
    <row r="10">
      <c r="A10" s="52" t="n"/>
      <c r="B10" s="49" t="n"/>
      <c r="C10" s="49" t="n"/>
      <c r="D10" s="49" t="n"/>
      <c r="E10" s="51" t="n"/>
      <c r="F10" s="49" t="n"/>
      <c r="G10" s="49" t="n"/>
    </row>
    <row r="11">
      <c r="A11" s="52" t="n"/>
      <c r="B11" s="49" t="n"/>
      <c r="C11" s="49" t="n"/>
      <c r="D11" s="49" t="n"/>
      <c r="E11" s="51" t="n"/>
      <c r="F11" s="49" t="n"/>
      <c r="G11" s="49" t="n"/>
    </row>
    <row r="12">
      <c r="A12" s="52" t="n"/>
      <c r="B12" s="49" t="n"/>
      <c r="C12" s="49" t="n"/>
      <c r="D12" s="49" t="n"/>
      <c r="E12" s="51" t="n"/>
      <c r="F12" s="49" t="n"/>
      <c r="G12" s="49" t="n"/>
    </row>
    <row r="13">
      <c r="A13" s="52" t="n"/>
      <c r="B13" s="49" t="n"/>
      <c r="C13" s="49" t="n"/>
      <c r="D13" s="49" t="n"/>
      <c r="E13" s="51" t="n"/>
      <c r="F13" s="49" t="n"/>
      <c r="G13" s="49" t="n"/>
    </row>
    <row r="14">
      <c r="A14" s="52" t="n"/>
      <c r="B14" s="49" t="n"/>
      <c r="C14" s="49" t="n"/>
      <c r="D14" s="49" t="n"/>
      <c r="E14" s="51" t="n"/>
      <c r="F14" s="49" t="n"/>
      <c r="G14" s="49" t="n"/>
    </row>
    <row r="15">
      <c r="A15" s="52" t="n"/>
      <c r="B15" s="49" t="n"/>
      <c r="C15" s="49" t="n"/>
      <c r="D15" s="49" t="n"/>
      <c r="E15" s="51" t="n"/>
      <c r="F15" s="49" t="n"/>
      <c r="G15" s="49" t="n"/>
    </row>
    <row r="16">
      <c r="A16" s="52" t="n"/>
      <c r="B16" s="49" t="n"/>
      <c r="C16" s="49" t="n"/>
      <c r="D16" s="49" t="n"/>
      <c r="E16" s="51" t="n"/>
      <c r="F16" s="49" t="n"/>
      <c r="G16" s="49" t="n"/>
    </row>
    <row r="17">
      <c r="A17" s="52" t="n"/>
      <c r="B17" s="49" t="n"/>
      <c r="C17" s="49" t="n"/>
      <c r="D17" s="49" t="n"/>
      <c r="E17" s="51" t="n"/>
      <c r="F17" s="49" t="n"/>
      <c r="G17" s="49" t="n"/>
    </row>
    <row r="18">
      <c r="A18" s="52" t="n"/>
      <c r="B18" s="49" t="n"/>
      <c r="C18" s="49" t="n"/>
      <c r="D18" s="49" t="n"/>
      <c r="E18" s="51" t="n"/>
      <c r="F18" s="49" t="n"/>
      <c r="G18" s="49" t="n"/>
    </row>
    <row r="19">
      <c r="A19" s="52" t="n"/>
      <c r="B19" s="49" t="n"/>
      <c r="C19" s="49" t="n"/>
      <c r="D19" s="49" t="n"/>
      <c r="E19" s="51" t="n"/>
      <c r="F19" s="49" t="n"/>
      <c r="G19" s="49" t="n"/>
    </row>
    <row r="20">
      <c r="A20" s="52" t="n"/>
      <c r="B20" s="49" t="n"/>
      <c r="C20" s="49" t="n"/>
      <c r="D20" s="49" t="n"/>
      <c r="E20" s="51" t="n"/>
      <c r="F20" s="49" t="n"/>
      <c r="G20" s="49" t="n"/>
    </row>
    <row r="21">
      <c r="A21" s="52" t="n"/>
      <c r="B21" s="49" t="n"/>
      <c r="C21" s="49" t="n"/>
      <c r="D21" s="49" t="n"/>
      <c r="E21" s="51" t="n"/>
      <c r="F21" s="49" t="n"/>
      <c r="G21" s="49" t="n"/>
    </row>
    <row r="22">
      <c r="A22" s="52" t="n"/>
      <c r="B22" s="49" t="n"/>
      <c r="C22" s="49" t="n"/>
      <c r="D22" s="49" t="n"/>
      <c r="E22" s="51" t="n"/>
      <c r="F22" s="49" t="n"/>
      <c r="G22" s="49" t="n"/>
    </row>
    <row r="23">
      <c r="A23" s="52" t="n"/>
      <c r="B23" s="49" t="n"/>
      <c r="C23" s="49" t="n"/>
      <c r="D23" s="49" t="n"/>
      <c r="E23" s="51" t="n"/>
      <c r="F23" s="49" t="n"/>
      <c r="G23" s="49" t="n"/>
    </row>
    <row r="24">
      <c r="A24" s="52" t="n"/>
      <c r="B24" s="49" t="n"/>
      <c r="C24" s="49" t="n"/>
      <c r="D24" s="49" t="n"/>
      <c r="E24" s="51" t="n"/>
      <c r="F24" s="49" t="n"/>
      <c r="G24" s="49" t="n"/>
    </row>
    <row r="25">
      <c r="A25" s="52" t="n"/>
      <c r="B25" s="49" t="n"/>
      <c r="C25" s="49" t="n"/>
      <c r="D25" s="49" t="n"/>
      <c r="E25" s="51" t="n"/>
      <c r="F25" s="49" t="n"/>
      <c r="G25" s="49" t="n"/>
    </row>
    <row r="26">
      <c r="A26" s="52" t="n"/>
      <c r="B26" s="49" t="n"/>
      <c r="C26" s="49" t="n"/>
      <c r="D26" s="49" t="n"/>
      <c r="E26" s="51" t="n"/>
      <c r="F26" s="49" t="n"/>
      <c r="G26" s="49" t="n"/>
    </row>
    <row r="27">
      <c r="A27" s="52" t="n"/>
      <c r="B27" s="49" t="n"/>
      <c r="C27" s="49" t="n"/>
      <c r="D27" s="49" t="n"/>
      <c r="E27" s="51" t="n"/>
      <c r="F27" s="49" t="n"/>
      <c r="G27" s="49" t="n"/>
    </row>
    <row r="28">
      <c r="A28" s="52" t="n"/>
      <c r="B28" s="49" t="n"/>
      <c r="C28" s="49" t="n"/>
      <c r="D28" s="49" t="n"/>
      <c r="E28" s="51" t="n"/>
      <c r="F28" s="49" t="n"/>
      <c r="G28" s="49" t="n"/>
    </row>
    <row r="29">
      <c r="A29" s="52" t="n"/>
      <c r="B29" s="49" t="n"/>
      <c r="C29" s="49" t="n"/>
      <c r="D29" s="49" t="n"/>
      <c r="E29" s="51" t="n"/>
      <c r="F29" s="49" t="n"/>
      <c r="G29" s="49" t="n"/>
    </row>
    <row r="30">
      <c r="A30" s="52" t="n"/>
      <c r="B30" s="49" t="n"/>
      <c r="C30" s="49" t="n"/>
      <c r="D30" s="49" t="n"/>
      <c r="E30" s="51" t="n"/>
      <c r="F30" s="49" t="n"/>
      <c r="G30" s="49" t="n"/>
    </row>
    <row r="31">
      <c r="A31" s="52" t="n"/>
      <c r="B31" s="49" t="n"/>
      <c r="C31" s="49" t="n"/>
      <c r="D31" s="49" t="n"/>
      <c r="E31" s="51" t="n"/>
      <c r="F31" s="49" t="n"/>
      <c r="G31" s="49" t="n"/>
    </row>
    <row r="32">
      <c r="A32" s="52" t="n"/>
      <c r="B32" s="49" t="n"/>
      <c r="C32" s="49" t="n"/>
      <c r="D32" s="49" t="n"/>
      <c r="E32" s="51" t="n"/>
      <c r="F32" s="49" t="n"/>
      <c r="G32" s="49" t="n"/>
    </row>
    <row r="33">
      <c r="A33" s="52" t="n"/>
      <c r="B33" s="49" t="n"/>
      <c r="C33" s="49" t="n"/>
      <c r="D33" s="49" t="n"/>
      <c r="E33" s="51" t="n"/>
      <c r="F33" s="49" t="n"/>
      <c r="G33" s="49" t="n"/>
    </row>
    <row r="34">
      <c r="A34" s="52" t="n"/>
      <c r="B34" s="49" t="n"/>
      <c r="C34" s="49" t="n"/>
      <c r="D34" s="49" t="n"/>
      <c r="E34" s="51" t="n"/>
      <c r="F34" s="49" t="n"/>
      <c r="G34" s="49" t="n"/>
    </row>
    <row r="35">
      <c r="A35" s="52" t="n"/>
      <c r="B35" s="49" t="n"/>
      <c r="C35" s="49" t="n"/>
      <c r="D35" s="49" t="n"/>
      <c r="E35" s="51" t="n"/>
      <c r="F35" s="49" t="n"/>
      <c r="G35" s="49" t="n"/>
    </row>
    <row r="36">
      <c r="A36" s="52" t="n"/>
      <c r="B36" s="49" t="n"/>
      <c r="C36" s="49" t="n"/>
      <c r="D36" s="49" t="n"/>
      <c r="E36" s="51" t="n"/>
      <c r="F36" s="49" t="n"/>
      <c r="G36" s="49" t="n"/>
    </row>
    <row r="37">
      <c r="A37" s="52" t="n"/>
      <c r="B37" s="49" t="n"/>
      <c r="C37" s="49" t="n"/>
      <c r="D37" s="49" t="n"/>
      <c r="E37" s="51" t="n"/>
      <c r="F37" s="49" t="n"/>
      <c r="G37" s="49" t="n"/>
    </row>
    <row r="38">
      <c r="A38" s="52" t="n"/>
      <c r="B38" s="49" t="n"/>
      <c r="C38" s="49" t="n"/>
      <c r="D38" s="49" t="n"/>
      <c r="E38" s="51" t="n"/>
      <c r="F38" s="49" t="n"/>
      <c r="G38" s="49" t="n"/>
    </row>
    <row r="39">
      <c r="A39" s="52" t="n"/>
      <c r="B39" s="49" t="n"/>
      <c r="C39" s="49" t="n"/>
      <c r="D39" s="49" t="n"/>
      <c r="E39" s="51" t="n"/>
      <c r="F39" s="49" t="n"/>
      <c r="G39" s="49" t="n"/>
    </row>
    <row r="40">
      <c r="A40" s="52" t="n"/>
      <c r="B40" s="49" t="n"/>
      <c r="C40" s="49" t="n"/>
      <c r="D40" s="49" t="n"/>
      <c r="E40" s="51" t="n"/>
      <c r="F40" s="49" t="n"/>
      <c r="G40" s="49" t="n"/>
    </row>
    <row r="41">
      <c r="A41" s="52" t="n"/>
      <c r="B41" s="49" t="n"/>
      <c r="C41" s="49" t="n"/>
      <c r="D41" s="49" t="n"/>
      <c r="E41" s="51" t="n"/>
      <c r="F41" s="49" t="n"/>
      <c r="G41" s="49" t="n"/>
    </row>
    <row r="42">
      <c r="A42" s="52" t="n"/>
      <c r="B42" s="49" t="n"/>
      <c r="C42" s="49" t="n"/>
      <c r="D42" s="49" t="n"/>
      <c r="E42" s="51" t="n"/>
      <c r="F42" s="49" t="n"/>
      <c r="G42" s="49" t="n"/>
    </row>
    <row r="43">
      <c r="A43" s="52" t="n"/>
      <c r="B43" s="49" t="n"/>
      <c r="C43" s="49" t="n"/>
      <c r="D43" s="49" t="n"/>
      <c r="E43" s="51" t="n"/>
      <c r="F43" s="49" t="n"/>
      <c r="G43" s="49" t="n"/>
    </row>
    <row r="44">
      <c r="A44" s="52" t="n"/>
      <c r="B44" s="49" t="n"/>
      <c r="C44" s="49" t="n"/>
      <c r="D44" s="49" t="n"/>
      <c r="E44" s="51" t="n"/>
      <c r="F44" s="49" t="n"/>
      <c r="G44" s="49" t="n"/>
    </row>
    <row r="45">
      <c r="A45" s="52" t="n"/>
      <c r="B45" s="49" t="n"/>
      <c r="C45" s="49" t="n"/>
      <c r="D45" s="49" t="n"/>
      <c r="E45" s="51" t="n"/>
      <c r="F45" s="49" t="n"/>
      <c r="G45" s="49" t="n"/>
    </row>
    <row r="46">
      <c r="A46" s="52" t="n"/>
      <c r="B46" s="49" t="n"/>
      <c r="C46" s="49" t="n"/>
      <c r="D46" s="49" t="n"/>
      <c r="E46" s="51" t="n"/>
      <c r="F46" s="49" t="n"/>
      <c r="G46" s="49" t="n"/>
    </row>
    <row r="47">
      <c r="A47" s="52" t="n"/>
      <c r="B47" s="49" t="n"/>
      <c r="C47" s="49" t="n"/>
      <c r="D47" s="49" t="n"/>
      <c r="E47" s="51" t="n"/>
      <c r="F47" s="49" t="n"/>
      <c r="G47" s="49" t="n"/>
    </row>
    <row r="48">
      <c r="A48" s="52" t="n"/>
      <c r="B48" s="49" t="n"/>
      <c r="C48" s="49" t="n"/>
      <c r="D48" s="49" t="n"/>
      <c r="E48" s="51" t="n"/>
      <c r="F48" s="49" t="n"/>
      <c r="G48" s="49" t="n"/>
    </row>
    <row r="49">
      <c r="A49" s="52" t="n"/>
      <c r="B49" s="49" t="n"/>
      <c r="C49" s="49" t="n"/>
      <c r="D49" s="49" t="n"/>
      <c r="E49" s="51" t="n"/>
      <c r="F49" s="49" t="n"/>
      <c r="G49" s="49" t="n"/>
    </row>
    <row r="50">
      <c r="A50" s="52" t="n"/>
      <c r="B50" s="49" t="n"/>
      <c r="C50" s="49" t="n"/>
      <c r="D50" s="49" t="n"/>
      <c r="E50" s="51" t="n"/>
      <c r="F50" s="49" t="n"/>
      <c r="G50" s="49" t="n"/>
    </row>
    <row r="51">
      <c r="A51" s="52" t="n"/>
      <c r="B51" s="49" t="n"/>
      <c r="C51" s="49" t="n"/>
      <c r="D51" s="49" t="n"/>
      <c r="E51" s="51" t="n"/>
      <c r="F51" s="49" t="n"/>
      <c r="G51" s="49" t="n"/>
    </row>
    <row r="52">
      <c r="A52" s="52" t="n"/>
      <c r="B52" s="49" t="n"/>
      <c r="C52" s="49" t="n"/>
      <c r="D52" s="49" t="n"/>
      <c r="E52" s="51" t="n"/>
      <c r="F52" s="49" t="n"/>
      <c r="G52" s="49" t="n"/>
    </row>
    <row r="53">
      <c r="A53" s="52" t="n"/>
      <c r="B53" s="49" t="n"/>
      <c r="C53" s="49" t="n"/>
      <c r="D53" s="49" t="n"/>
      <c r="E53" s="51" t="n"/>
      <c r="F53" s="49" t="n"/>
      <c r="G53" s="49" t="n"/>
    </row>
    <row r="54">
      <c r="A54" s="52" t="n"/>
      <c r="B54" s="49" t="n"/>
      <c r="C54" s="49" t="n"/>
      <c r="D54" s="49" t="n"/>
      <c r="E54" s="51" t="n"/>
      <c r="F54" s="49" t="n"/>
      <c r="G54" s="49" t="n"/>
    </row>
    <row r="55">
      <c r="A55" s="52" t="n"/>
      <c r="B55" s="49" t="n"/>
      <c r="C55" s="49" t="n"/>
      <c r="D55" s="49" t="n"/>
      <c r="E55" s="51" t="n"/>
      <c r="F55" s="49" t="n"/>
      <c r="G55" s="49" t="n"/>
    </row>
    <row r="56">
      <c r="A56" s="52" t="n"/>
      <c r="B56" s="49" t="n"/>
      <c r="C56" s="49" t="n"/>
      <c r="D56" s="49" t="n"/>
      <c r="E56" s="51" t="n"/>
      <c r="F56" s="49" t="n"/>
      <c r="G56" s="49" t="n"/>
    </row>
    <row r="57">
      <c r="A57" s="52" t="n"/>
      <c r="B57" s="49" t="n"/>
      <c r="C57" s="49" t="n"/>
      <c r="D57" s="49" t="n"/>
      <c r="E57" s="51" t="n"/>
      <c r="F57" s="49" t="n"/>
      <c r="G57" s="49" t="n"/>
    </row>
    <row r="58">
      <c r="A58" s="52" t="n"/>
      <c r="B58" s="49" t="n"/>
      <c r="C58" s="49" t="n"/>
      <c r="D58" s="49" t="n"/>
      <c r="E58" s="51" t="n"/>
      <c r="F58" s="49" t="n"/>
      <c r="G58" s="49" t="n"/>
    </row>
    <row r="59">
      <c r="A59" s="52" t="n"/>
      <c r="B59" s="49" t="n"/>
      <c r="C59" s="49" t="n"/>
      <c r="D59" s="49" t="n"/>
      <c r="E59" s="51" t="n"/>
      <c r="F59" s="49" t="n"/>
      <c r="G59" s="49" t="n"/>
    </row>
    <row r="60">
      <c r="A60" s="52" t="n"/>
      <c r="B60" s="49" t="n"/>
      <c r="C60" s="49" t="n"/>
      <c r="D60" s="49" t="n"/>
      <c r="E60" s="51" t="n"/>
      <c r="F60" s="49" t="n"/>
      <c r="G60" s="49" t="n"/>
    </row>
    <row r="61">
      <c r="A61" s="52" t="n"/>
      <c r="B61" s="49" t="n"/>
      <c r="C61" s="49" t="n"/>
      <c r="D61" s="49" t="n"/>
      <c r="E61" s="51" t="n"/>
      <c r="F61" s="49" t="n"/>
      <c r="G61" s="49" t="n"/>
    </row>
    <row r="62">
      <c r="A62" s="52" t="n"/>
      <c r="B62" s="49" t="n"/>
      <c r="C62" s="49" t="n"/>
      <c r="D62" s="49" t="n"/>
      <c r="E62" s="51" t="n"/>
      <c r="F62" s="49" t="n"/>
      <c r="G62" s="49" t="n"/>
    </row>
    <row r="63">
      <c r="A63" s="52" t="n"/>
      <c r="B63" s="49" t="n"/>
      <c r="C63" s="49" t="n"/>
      <c r="D63" s="49" t="n"/>
      <c r="E63" s="51" t="n"/>
      <c r="F63" s="49" t="n"/>
      <c r="G63" s="49" t="n"/>
    </row>
    <row r="64">
      <c r="A64" s="52" t="n"/>
      <c r="B64" s="49" t="n"/>
      <c r="C64" s="49" t="n"/>
      <c r="D64" s="49" t="n"/>
      <c r="E64" s="51" t="n"/>
      <c r="F64" s="49" t="n"/>
      <c r="G64" s="49" t="n"/>
    </row>
    <row r="65">
      <c r="A65" s="52" t="n"/>
      <c r="B65" s="49" t="n"/>
      <c r="C65" s="49" t="n"/>
      <c r="D65" s="49" t="n"/>
      <c r="E65" s="51" t="n"/>
      <c r="F65" s="49" t="n"/>
      <c r="G65" s="49" t="n"/>
    </row>
    <row r="66">
      <c r="A66" s="52" t="n"/>
      <c r="B66" s="49" t="n"/>
      <c r="C66" s="49" t="n"/>
      <c r="D66" s="49" t="n"/>
      <c r="E66" s="51" t="n"/>
      <c r="F66" s="49" t="n"/>
      <c r="G66" s="49" t="n"/>
    </row>
    <row r="67">
      <c r="A67" s="52" t="n"/>
      <c r="B67" s="49" t="n"/>
      <c r="C67" s="49" t="n"/>
      <c r="D67" s="49" t="n"/>
      <c r="E67" s="51" t="n"/>
      <c r="F67" s="49" t="n"/>
      <c r="G67" s="49" t="n"/>
    </row>
    <row r="68">
      <c r="A68" s="52" t="n"/>
      <c r="B68" s="49" t="n"/>
      <c r="C68" s="49" t="n"/>
      <c r="D68" s="49" t="n"/>
      <c r="E68" s="51" t="n"/>
      <c r="F68" s="49" t="n"/>
      <c r="G68" s="49" t="n"/>
    </row>
    <row r="69">
      <c r="A69" s="52" t="n"/>
      <c r="B69" s="49" t="n"/>
      <c r="C69" s="49" t="n"/>
      <c r="D69" s="49" t="n"/>
      <c r="E69" s="51" t="n"/>
      <c r="F69" s="49" t="n"/>
      <c r="G69" s="49" t="n"/>
    </row>
    <row r="70">
      <c r="A70" s="52" t="n"/>
      <c r="B70" s="49" t="n"/>
      <c r="C70" s="49" t="n"/>
      <c r="D70" s="49" t="n"/>
      <c r="E70" s="51" t="n"/>
      <c r="F70" s="49" t="n"/>
      <c r="G70" s="49" t="n"/>
    </row>
    <row r="71">
      <c r="A71" s="52" t="n"/>
      <c r="B71" s="49" t="n"/>
      <c r="C71" s="49" t="n"/>
      <c r="D71" s="49" t="n"/>
      <c r="E71" s="51" t="n"/>
      <c r="F71" s="49" t="n"/>
      <c r="G71" s="49" t="n"/>
    </row>
    <row r="72">
      <c r="A72" s="52" t="n"/>
      <c r="B72" s="49" t="n"/>
      <c r="C72" s="49" t="n"/>
      <c r="D72" s="49" t="n"/>
      <c r="E72" s="51" t="n"/>
      <c r="F72" s="49" t="n"/>
      <c r="G72" s="49" t="n"/>
    </row>
    <row r="73">
      <c r="A73" s="52" t="n"/>
      <c r="B73" s="49" t="n"/>
      <c r="C73" s="49" t="n"/>
      <c r="D73" s="49" t="n"/>
      <c r="E73" s="51" t="n"/>
      <c r="F73" s="49" t="n"/>
      <c r="G73" s="49" t="n"/>
    </row>
    <row r="74">
      <c r="A74" s="52" t="n"/>
      <c r="B74" s="49" t="n"/>
      <c r="C74" s="49" t="n"/>
      <c r="D74" s="49" t="n"/>
      <c r="E74" s="51" t="n"/>
      <c r="F74" s="49" t="n"/>
      <c r="G74" s="49" t="n"/>
    </row>
    <row r="75">
      <c r="A75" s="52" t="n"/>
      <c r="B75" s="49" t="n"/>
      <c r="C75" s="49" t="n"/>
      <c r="D75" s="49" t="n"/>
      <c r="E75" s="51" t="n"/>
      <c r="F75" s="49" t="n"/>
      <c r="G75" s="49" t="n"/>
    </row>
    <row r="76">
      <c r="A76" s="52" t="n"/>
      <c r="B76" s="49" t="n"/>
      <c r="C76" s="49" t="n"/>
      <c r="D76" s="49" t="n"/>
      <c r="E76" s="51" t="n"/>
      <c r="F76" s="49" t="n"/>
      <c r="G76" s="49" t="n"/>
    </row>
    <row r="77">
      <c r="A77" s="52" t="n"/>
      <c r="B77" s="49" t="n"/>
      <c r="C77" s="49" t="n"/>
      <c r="D77" s="49" t="n"/>
      <c r="E77" s="51" t="n"/>
      <c r="F77" s="49" t="n"/>
      <c r="G77" s="49" t="n"/>
    </row>
    <row r="78">
      <c r="A78" s="52" t="n"/>
      <c r="B78" s="49" t="n"/>
      <c r="C78" s="49" t="n"/>
      <c r="D78" s="49" t="n"/>
      <c r="E78" s="51" t="n"/>
      <c r="F78" s="49" t="n"/>
      <c r="G78" s="49" t="n"/>
    </row>
    <row r="79">
      <c r="A79" s="52" t="n"/>
      <c r="B79" s="49" t="n"/>
      <c r="C79" s="49" t="n"/>
      <c r="D79" s="49" t="n"/>
      <c r="E79" s="51" t="n"/>
      <c r="F79" s="49" t="n"/>
      <c r="G79" s="49" t="n"/>
    </row>
    <row r="80">
      <c r="A80" s="52" t="n"/>
      <c r="B80" s="49" t="n"/>
      <c r="C80" s="49" t="n"/>
      <c r="D80" s="49" t="n"/>
      <c r="E80" s="51" t="n"/>
      <c r="F80" s="49" t="n"/>
      <c r="G80" s="49" t="n"/>
    </row>
    <row r="81">
      <c r="A81" s="52" t="n"/>
      <c r="B81" s="49" t="n"/>
      <c r="C81" s="49" t="n"/>
      <c r="D81" s="49" t="n"/>
      <c r="E81" s="51" t="n"/>
      <c r="F81" s="49" t="n"/>
      <c r="G81" s="49" t="n"/>
    </row>
    <row r="82">
      <c r="A82" s="52" t="n"/>
      <c r="B82" s="49" t="n"/>
      <c r="C82" s="49" t="n"/>
      <c r="D82" s="49" t="n"/>
      <c r="E82" s="51" t="n"/>
      <c r="F82" s="49" t="n"/>
      <c r="G82" s="49" t="n"/>
    </row>
    <row r="83">
      <c r="A83" s="52" t="n"/>
      <c r="B83" s="49" t="n"/>
      <c r="C83" s="49" t="n"/>
      <c r="D83" s="49" t="n"/>
      <c r="E83" s="51" t="n"/>
      <c r="F83" s="49" t="n"/>
      <c r="G83" s="49" t="n"/>
    </row>
    <row r="84">
      <c r="A84" s="52" t="n"/>
      <c r="B84" s="49" t="n"/>
      <c r="C84" s="49" t="n"/>
      <c r="D84" s="49" t="n"/>
      <c r="E84" s="51" t="n"/>
      <c r="F84" s="49" t="n"/>
      <c r="G84" s="49" t="n"/>
    </row>
    <row r="85">
      <c r="A85" s="52" t="n"/>
      <c r="B85" s="49" t="n"/>
      <c r="C85" s="49" t="n"/>
      <c r="D85" s="49" t="n"/>
      <c r="E85" s="51" t="n"/>
      <c r="F85" s="49" t="n"/>
      <c r="G85" s="49" t="n"/>
    </row>
    <row r="86">
      <c r="A86" s="52" t="n"/>
      <c r="B86" s="49" t="n"/>
      <c r="C86" s="49" t="n"/>
      <c r="D86" s="49" t="n"/>
      <c r="E86" s="51" t="n"/>
      <c r="F86" s="49" t="n"/>
      <c r="G86" s="49" t="n"/>
    </row>
    <row r="87">
      <c r="A87" s="52" t="n"/>
      <c r="B87" s="49" t="n"/>
      <c r="C87" s="49" t="n"/>
      <c r="D87" s="49" t="n"/>
      <c r="E87" s="51" t="n"/>
      <c r="F87" s="49" t="n"/>
      <c r="G87" s="49" t="n"/>
    </row>
    <row r="88">
      <c r="A88" s="52" t="n"/>
      <c r="B88" s="49" t="n"/>
      <c r="C88" s="49" t="n"/>
      <c r="D88" s="49" t="n"/>
      <c r="E88" s="51" t="n"/>
      <c r="F88" s="49" t="n"/>
      <c r="G88" s="49" t="n"/>
    </row>
    <row r="89">
      <c r="A89" s="52" t="n"/>
      <c r="B89" s="49" t="n"/>
      <c r="C89" s="49" t="n"/>
      <c r="D89" s="49" t="n"/>
      <c r="E89" s="51" t="n"/>
      <c r="F89" s="49" t="n"/>
      <c r="G89" s="49" t="n"/>
    </row>
    <row r="90">
      <c r="A90" s="52" t="n"/>
      <c r="B90" s="49" t="n"/>
      <c r="C90" s="49" t="n"/>
      <c r="D90" s="49" t="n"/>
      <c r="E90" s="51" t="n"/>
      <c r="F90" s="49" t="n"/>
      <c r="G90" s="49" t="n"/>
    </row>
    <row r="91">
      <c r="A91" s="52" t="n"/>
      <c r="B91" s="49" t="n"/>
      <c r="C91" s="49" t="n"/>
      <c r="D91" s="49" t="n"/>
      <c r="E91" s="51" t="n"/>
      <c r="F91" s="49" t="n"/>
      <c r="G91" s="49" t="n"/>
    </row>
    <row r="92">
      <c r="A92" s="52" t="n"/>
      <c r="B92" s="49" t="n"/>
      <c r="C92" s="49" t="n"/>
      <c r="D92" s="49" t="n"/>
      <c r="E92" s="51" t="n"/>
      <c r="F92" s="49" t="n"/>
      <c r="G92" s="49" t="n"/>
    </row>
    <row r="93">
      <c r="A93" s="52" t="n"/>
      <c r="B93" s="49" t="n"/>
      <c r="C93" s="49" t="n"/>
      <c r="D93" s="49" t="n"/>
      <c r="E93" s="51" t="n"/>
      <c r="F93" s="49" t="n"/>
      <c r="G93" s="49" t="n"/>
    </row>
    <row r="94">
      <c r="A94" s="52" t="n"/>
      <c r="B94" s="49" t="n"/>
      <c r="C94" s="49" t="n"/>
      <c r="D94" s="49" t="n"/>
      <c r="E94" s="51" t="n"/>
      <c r="F94" s="49" t="n"/>
      <c r="G94" s="49" t="n"/>
    </row>
    <row r="95">
      <c r="A95" s="52" t="n"/>
      <c r="B95" s="49" t="n"/>
      <c r="C95" s="49" t="n"/>
      <c r="D95" s="49" t="n"/>
      <c r="E95" s="51" t="n"/>
      <c r="F95" s="49" t="n"/>
      <c r="G95" s="49" t="n"/>
    </row>
    <row r="96">
      <c r="A96" s="52" t="n"/>
      <c r="B96" s="49" t="n"/>
      <c r="C96" s="49" t="n"/>
      <c r="D96" s="49" t="n"/>
      <c r="E96" s="51" t="n"/>
      <c r="F96" s="49" t="n"/>
      <c r="G96" s="49" t="n"/>
    </row>
    <row r="97">
      <c r="A97" s="52" t="n"/>
      <c r="B97" s="49" t="n"/>
      <c r="C97" s="49" t="n"/>
      <c r="D97" s="49" t="n"/>
      <c r="E97" s="51" t="n"/>
      <c r="F97" s="49" t="n"/>
      <c r="G97" s="49" t="n"/>
    </row>
    <row r="98">
      <c r="A98" s="52" t="n"/>
      <c r="B98" s="49" t="n"/>
      <c r="C98" s="49" t="n"/>
      <c r="D98" s="49" t="n"/>
      <c r="E98" s="51" t="n"/>
      <c r="F98" s="49" t="n"/>
      <c r="G98" s="49" t="n"/>
    </row>
    <row r="99">
      <c r="A99" s="52" t="n"/>
      <c r="B99" s="49" t="n"/>
      <c r="C99" s="49" t="n"/>
      <c r="D99" s="49" t="n"/>
      <c r="E99" s="51" t="n"/>
      <c r="F99" s="49" t="n"/>
      <c r="G99" s="49" t="n"/>
    </row>
    <row r="100">
      <c r="A100" s="52" t="n"/>
      <c r="B100" s="49" t="n"/>
      <c r="C100" s="49" t="n"/>
      <c r="D100" s="49" t="n"/>
      <c r="E100" s="51" t="n"/>
      <c r="F100" s="49" t="n"/>
      <c r="G100" s="49" t="n"/>
    </row>
    <row r="101">
      <c r="A101" s="52" t="n"/>
      <c r="B101" s="49" t="n"/>
      <c r="C101" s="49" t="n"/>
      <c r="D101" s="49" t="n"/>
      <c r="E101" s="51" t="n"/>
      <c r="F101" s="49" t="n"/>
      <c r="G101" s="49" t="n"/>
    </row>
    <row r="102">
      <c r="A102" s="52" t="n"/>
      <c r="B102" s="49" t="n"/>
      <c r="C102" s="49" t="n"/>
      <c r="D102" s="49" t="n"/>
      <c r="E102" s="51" t="n"/>
      <c r="F102" s="49" t="n"/>
      <c r="G102" s="49" t="n"/>
    </row>
    <row r="103">
      <c r="A103" s="52" t="n"/>
      <c r="B103" s="49" t="n"/>
      <c r="C103" s="49" t="n"/>
      <c r="D103" s="49" t="n"/>
      <c r="E103" s="51" t="n"/>
      <c r="F103" s="49" t="n"/>
      <c r="G103" s="49" t="n"/>
    </row>
    <row r="104">
      <c r="A104" s="52" t="n"/>
      <c r="B104" s="49" t="n"/>
      <c r="C104" s="49" t="n"/>
      <c r="D104" s="49" t="n"/>
      <c r="E104" s="51" t="n"/>
      <c r="F104" s="49" t="n"/>
      <c r="G104" s="49" t="n"/>
    </row>
    <row r="105">
      <c r="A105" s="52" t="n"/>
      <c r="B105" s="49" t="n"/>
      <c r="C105" s="49" t="n"/>
      <c r="D105" s="49" t="n"/>
      <c r="E105" s="51" t="n"/>
      <c r="F105" s="49" t="n"/>
      <c r="G105" s="49" t="n"/>
    </row>
    <row r="106">
      <c r="A106" s="52" t="n"/>
      <c r="B106" s="49" t="n"/>
      <c r="C106" s="49" t="n"/>
      <c r="D106" s="49" t="n"/>
      <c r="E106" s="51" t="n"/>
      <c r="F106" s="49" t="n"/>
      <c r="G106" s="49" t="n"/>
    </row>
    <row r="107">
      <c r="A107" s="52" t="n"/>
      <c r="B107" s="49" t="n"/>
      <c r="C107" s="49" t="n"/>
      <c r="D107" s="49" t="n"/>
      <c r="E107" s="51" t="n"/>
      <c r="F107" s="49" t="n"/>
      <c r="G107" s="49" t="n"/>
    </row>
    <row r="108">
      <c r="A108" s="52" t="n"/>
      <c r="B108" s="49" t="n"/>
      <c r="C108" s="49" t="n"/>
      <c r="D108" s="49" t="n"/>
      <c r="E108" s="51" t="n"/>
      <c r="F108" s="49" t="n"/>
      <c r="G108" s="49" t="n"/>
    </row>
    <row r="109">
      <c r="A109" s="52" t="n"/>
      <c r="B109" s="49" t="n"/>
      <c r="C109" s="49" t="n"/>
      <c r="D109" s="49" t="n"/>
      <c r="E109" s="51" t="n"/>
      <c r="F109" s="49" t="n"/>
      <c r="G109" s="49" t="n"/>
    </row>
    <row r="110">
      <c r="A110" s="52" t="n"/>
      <c r="B110" s="49" t="n"/>
      <c r="C110" s="49" t="n"/>
      <c r="D110" s="49" t="n"/>
      <c r="E110" s="51" t="n"/>
      <c r="F110" s="49" t="n"/>
      <c r="G110" s="49" t="n"/>
    </row>
    <row r="111">
      <c r="A111" s="52" t="n"/>
      <c r="B111" s="49" t="n"/>
      <c r="C111" s="49" t="n"/>
      <c r="D111" s="49" t="n"/>
      <c r="E111" s="51" t="n"/>
      <c r="F111" s="49" t="n"/>
      <c r="G111" s="49" t="n"/>
    </row>
    <row r="112">
      <c r="A112" s="52" t="n"/>
      <c r="B112" s="49" t="n"/>
      <c r="C112" s="49" t="n"/>
      <c r="D112" s="49" t="n"/>
      <c r="E112" s="51" t="n"/>
      <c r="F112" s="49" t="n"/>
      <c r="G112" s="49" t="n"/>
    </row>
    <row r="113">
      <c r="A113" s="52" t="n"/>
      <c r="B113" s="49" t="n"/>
      <c r="C113" s="49" t="n"/>
      <c r="D113" s="49" t="n"/>
      <c r="E113" s="51" t="n"/>
      <c r="F113" s="49" t="n"/>
      <c r="G113" s="49" t="n"/>
    </row>
    <row r="114">
      <c r="A114" s="52" t="n"/>
      <c r="B114" s="49" t="n"/>
      <c r="C114" s="49" t="n"/>
      <c r="D114" s="49" t="n"/>
      <c r="E114" s="51" t="n"/>
      <c r="F114" s="49" t="n"/>
      <c r="G114" s="49" t="n"/>
    </row>
    <row r="115">
      <c r="A115" s="52" t="n"/>
      <c r="B115" s="49" t="n"/>
      <c r="C115" s="49" t="n"/>
      <c r="D115" s="49" t="n"/>
      <c r="E115" s="51" t="n"/>
      <c r="F115" s="49" t="n"/>
      <c r="G115" s="49" t="n"/>
    </row>
    <row r="116">
      <c r="A116" s="52" t="n"/>
      <c r="B116" s="49" t="n"/>
      <c r="C116" s="49" t="n"/>
      <c r="D116" s="49" t="n"/>
      <c r="E116" s="51" t="n"/>
      <c r="F116" s="49" t="n"/>
      <c r="G116" s="49" t="n"/>
    </row>
    <row r="117">
      <c r="A117" s="52" t="n"/>
      <c r="B117" s="49" t="n"/>
      <c r="C117" s="49" t="n"/>
      <c r="D117" s="49" t="n"/>
      <c r="E117" s="51" t="n"/>
      <c r="F117" s="49" t="n"/>
      <c r="G117" s="49" t="n"/>
    </row>
    <row r="118">
      <c r="A118" s="52" t="n"/>
      <c r="B118" s="49" t="n"/>
      <c r="C118" s="49" t="n"/>
      <c r="D118" s="49" t="n"/>
      <c r="E118" s="51" t="n"/>
      <c r="F118" s="49" t="n"/>
      <c r="G118" s="49" t="n"/>
    </row>
    <row r="119">
      <c r="A119" s="52" t="n"/>
      <c r="B119" s="49" t="n"/>
      <c r="C119" s="49" t="n"/>
      <c r="D119" s="49" t="n"/>
      <c r="E119" s="51" t="n"/>
      <c r="F119" s="49" t="n"/>
      <c r="G119" s="49" t="n"/>
    </row>
    <row r="120">
      <c r="A120" s="52" t="n"/>
      <c r="B120" s="49" t="n"/>
      <c r="C120" s="49" t="n"/>
      <c r="D120" s="49" t="n"/>
      <c r="E120" s="51" t="n"/>
      <c r="F120" s="49" t="n"/>
      <c r="G120" s="49" t="n"/>
    </row>
    <row r="121">
      <c r="A121" s="52" t="n"/>
      <c r="B121" s="49" t="n"/>
      <c r="C121" s="49" t="n"/>
      <c r="D121" s="49" t="n"/>
      <c r="E121" s="51" t="n"/>
      <c r="F121" s="49" t="n"/>
      <c r="G121" s="49" t="n"/>
    </row>
    <row r="122">
      <c r="A122" s="52" t="n"/>
      <c r="B122" s="49" t="n"/>
      <c r="C122" s="49" t="n"/>
      <c r="D122" s="49" t="n"/>
      <c r="E122" s="51" t="n"/>
      <c r="F122" s="49" t="n"/>
      <c r="G122" s="49" t="n"/>
    </row>
    <row r="123">
      <c r="A123" s="52" t="n"/>
      <c r="B123" s="49" t="n"/>
      <c r="C123" s="49" t="n"/>
      <c r="D123" s="49" t="n"/>
      <c r="E123" s="51" t="n"/>
      <c r="F123" s="49" t="n"/>
      <c r="G123" s="49" t="n"/>
    </row>
    <row r="124">
      <c r="A124" s="52" t="n"/>
      <c r="B124" s="49" t="n"/>
      <c r="C124" s="49" t="n"/>
      <c r="D124" s="49" t="n"/>
      <c r="E124" s="51" t="n"/>
      <c r="F124" s="49" t="n"/>
      <c r="G124" s="49" t="n"/>
    </row>
    <row r="125">
      <c r="A125" s="52" t="n"/>
      <c r="B125" s="49" t="n"/>
      <c r="C125" s="49" t="n"/>
      <c r="D125" s="49" t="n"/>
      <c r="E125" s="51" t="n"/>
      <c r="F125" s="49" t="n"/>
      <c r="G125" s="49" t="n"/>
    </row>
    <row r="126">
      <c r="A126" s="52" t="n"/>
      <c r="B126" s="49" t="n"/>
      <c r="C126" s="49" t="n"/>
      <c r="D126" s="49" t="n"/>
      <c r="E126" s="51" t="n"/>
      <c r="F126" s="49" t="n"/>
      <c r="G126" s="49" t="n"/>
    </row>
    <row r="127">
      <c r="A127" s="52" t="n"/>
      <c r="B127" s="49" t="n"/>
      <c r="C127" s="49" t="n"/>
      <c r="D127" s="49" t="n"/>
      <c r="E127" s="51" t="n"/>
      <c r="F127" s="49" t="n"/>
      <c r="G127" s="49" t="n"/>
    </row>
    <row r="128">
      <c r="A128" s="52" t="n"/>
      <c r="B128" s="49" t="n"/>
      <c r="C128" s="49" t="n"/>
      <c r="D128" s="49" t="n"/>
      <c r="E128" s="51" t="n"/>
      <c r="F128" s="49" t="n"/>
      <c r="G128" s="49" t="n"/>
    </row>
    <row r="129">
      <c r="A129" s="52" t="n"/>
      <c r="B129" s="49" t="n"/>
      <c r="C129" s="49" t="n"/>
      <c r="D129" s="49" t="n"/>
      <c r="E129" s="51" t="n"/>
      <c r="F129" s="49" t="n"/>
      <c r="G129" s="49" t="n"/>
    </row>
    <row r="130">
      <c r="A130" s="52" t="n"/>
      <c r="B130" s="49" t="n"/>
      <c r="C130" s="49" t="n"/>
      <c r="D130" s="49" t="n"/>
      <c r="E130" s="51" t="n"/>
      <c r="F130" s="49" t="n"/>
      <c r="G130" s="49" t="n"/>
    </row>
    <row r="131">
      <c r="A131" s="52" t="n"/>
      <c r="B131" s="49" t="n"/>
      <c r="C131" s="49" t="n"/>
      <c r="D131" s="49" t="n"/>
      <c r="E131" s="51" t="n"/>
      <c r="F131" s="49" t="n"/>
      <c r="G131" s="49" t="n"/>
    </row>
    <row r="132">
      <c r="A132" s="52" t="n"/>
      <c r="B132" s="49" t="n"/>
      <c r="C132" s="49" t="n"/>
      <c r="D132" s="49" t="n"/>
      <c r="E132" s="51" t="n"/>
      <c r="F132" s="49" t="n"/>
      <c r="G132" s="49" t="n"/>
    </row>
    <row r="133">
      <c r="A133" s="52" t="n"/>
      <c r="B133" s="49" t="n"/>
      <c r="C133" s="49" t="n"/>
      <c r="D133" s="49" t="n"/>
      <c r="E133" s="51" t="n"/>
      <c r="F133" s="49" t="n"/>
      <c r="G133" s="49" t="n"/>
    </row>
    <row r="134">
      <c r="A134" s="52" t="n"/>
      <c r="B134" s="49" t="n"/>
      <c r="C134" s="49" t="n"/>
      <c r="D134" s="49" t="n"/>
      <c r="E134" s="51" t="n"/>
      <c r="F134" s="49" t="n"/>
      <c r="G134" s="49" t="n"/>
    </row>
    <row r="135">
      <c r="A135" s="52" t="n"/>
      <c r="B135" s="49" t="n"/>
      <c r="C135" s="49" t="n"/>
      <c r="D135" s="49" t="n"/>
      <c r="E135" s="51" t="n"/>
      <c r="F135" s="49" t="n"/>
      <c r="G135" s="49" t="n"/>
    </row>
    <row r="136">
      <c r="A136" s="52" t="n"/>
      <c r="B136" s="49" t="n"/>
      <c r="C136" s="49" t="n"/>
      <c r="D136" s="49" t="n"/>
      <c r="E136" s="51" t="n"/>
      <c r="F136" s="49" t="n"/>
      <c r="G136" s="49" t="n"/>
    </row>
    <row r="137">
      <c r="A137" s="52" t="n"/>
      <c r="B137" s="49" t="n"/>
      <c r="C137" s="49" t="n"/>
      <c r="D137" s="49" t="n"/>
      <c r="E137" s="51" t="n"/>
      <c r="F137" s="49" t="n"/>
      <c r="G137" s="49" t="n"/>
    </row>
    <row r="138">
      <c r="A138" s="52" t="n"/>
      <c r="B138" s="49" t="n"/>
      <c r="C138" s="49" t="n"/>
      <c r="D138" s="49" t="n"/>
      <c r="E138" s="51" t="n"/>
      <c r="F138" s="49" t="n"/>
      <c r="G138" s="49" t="n"/>
    </row>
    <row r="139">
      <c r="A139" s="52" t="n"/>
      <c r="B139" s="49" t="n"/>
      <c r="C139" s="49" t="n"/>
      <c r="D139" s="49" t="n"/>
      <c r="E139" s="51" t="n"/>
      <c r="F139" s="49" t="n"/>
      <c r="G139" s="49" t="n"/>
    </row>
    <row r="140">
      <c r="A140" s="52" t="n"/>
      <c r="B140" s="49" t="n"/>
      <c r="C140" s="49" t="n"/>
      <c r="D140" s="49" t="n"/>
      <c r="E140" s="51" t="n"/>
      <c r="F140" s="49" t="n"/>
      <c r="G140" s="49" t="n"/>
    </row>
    <row r="141">
      <c r="A141" s="52" t="n"/>
      <c r="B141" s="49" t="n"/>
      <c r="C141" s="49" t="n"/>
      <c r="D141" s="49" t="n"/>
      <c r="E141" s="51" t="n"/>
      <c r="F141" s="49" t="n"/>
      <c r="G141" s="49" t="n"/>
    </row>
    <row r="142">
      <c r="A142" s="52" t="n"/>
      <c r="B142" s="49" t="n"/>
      <c r="C142" s="49" t="n"/>
      <c r="D142" s="49" t="n"/>
      <c r="E142" s="51" t="n"/>
      <c r="F142" s="49" t="n"/>
      <c r="G142" s="49" t="n"/>
    </row>
    <row r="143">
      <c r="A143" s="52" t="n"/>
      <c r="B143" s="49" t="n"/>
      <c r="C143" s="49" t="n"/>
      <c r="D143" s="49" t="n"/>
      <c r="E143" s="51" t="n"/>
      <c r="F143" s="49" t="n"/>
      <c r="G143" s="49" t="n"/>
    </row>
    <row r="144">
      <c r="A144" s="52" t="n"/>
      <c r="B144" s="49" t="n"/>
      <c r="C144" s="49" t="n"/>
      <c r="D144" s="49" t="n"/>
      <c r="E144" s="51" t="n"/>
      <c r="F144" s="49" t="n"/>
      <c r="G144" s="49" t="n"/>
    </row>
    <row r="145">
      <c r="A145" s="52" t="n"/>
      <c r="B145" s="49" t="n"/>
      <c r="C145" s="49" t="n"/>
      <c r="D145" s="49" t="n"/>
      <c r="E145" s="51" t="n"/>
      <c r="F145" s="49" t="n"/>
      <c r="G145" s="49" t="n"/>
    </row>
    <row r="146">
      <c r="A146" s="52" t="n"/>
      <c r="B146" s="49" t="n"/>
      <c r="C146" s="49" t="n"/>
      <c r="D146" s="49" t="n"/>
      <c r="E146" s="51" t="n"/>
      <c r="F146" s="49" t="n"/>
      <c r="G146" s="49" t="n"/>
    </row>
    <row r="147">
      <c r="A147" s="52" t="n"/>
      <c r="B147" s="49" t="n"/>
      <c r="C147" s="49" t="n"/>
      <c r="D147" s="49" t="n"/>
      <c r="E147" s="51" t="n"/>
      <c r="F147" s="49" t="n"/>
      <c r="G147" s="49" t="n"/>
    </row>
    <row r="148">
      <c r="A148" s="52" t="n"/>
      <c r="B148" s="49" t="n"/>
      <c r="C148" s="49" t="n"/>
      <c r="D148" s="49" t="n"/>
      <c r="E148" s="51" t="n"/>
      <c r="F148" s="49" t="n"/>
      <c r="G148" s="49" t="n"/>
    </row>
    <row r="149">
      <c r="A149" s="52" t="n"/>
      <c r="B149" s="49" t="n"/>
      <c r="C149" s="49" t="n"/>
      <c r="D149" s="49" t="n"/>
      <c r="E149" s="51" t="n"/>
      <c r="F149" s="49" t="n"/>
      <c r="G149" s="49" t="n"/>
    </row>
    <row r="150">
      <c r="A150" s="52" t="n"/>
      <c r="B150" s="49" t="n"/>
      <c r="C150" s="49" t="n"/>
      <c r="D150" s="49" t="n"/>
      <c r="E150" s="51" t="n"/>
      <c r="F150" s="49" t="n"/>
      <c r="G150" s="49" t="n"/>
    </row>
    <row r="151">
      <c r="A151" s="52" t="n"/>
      <c r="B151" s="49" t="n"/>
      <c r="C151" s="49" t="n"/>
      <c r="D151" s="49" t="n"/>
      <c r="E151" s="51" t="n"/>
      <c r="F151" s="49" t="n"/>
      <c r="G151" s="49" t="n"/>
    </row>
    <row r="152">
      <c r="A152" s="52" t="n"/>
      <c r="B152" s="49" t="n"/>
      <c r="C152" s="49" t="n"/>
      <c r="D152" s="49" t="n"/>
      <c r="E152" s="51" t="n"/>
      <c r="F152" s="49" t="n"/>
      <c r="G152" s="49" t="n"/>
    </row>
    <row r="153">
      <c r="A153" s="52" t="n"/>
      <c r="B153" s="49" t="n"/>
      <c r="C153" s="49" t="n"/>
      <c r="D153" s="49" t="n"/>
      <c r="E153" s="51" t="n"/>
      <c r="F153" s="49" t="n"/>
      <c r="G153" s="49" t="n"/>
    </row>
    <row r="154">
      <c r="A154" s="52" t="n"/>
      <c r="B154" s="49" t="n"/>
      <c r="C154" s="49" t="n"/>
      <c r="D154" s="49" t="n"/>
      <c r="E154" s="51" t="n"/>
      <c r="F154" s="49" t="n"/>
      <c r="G154" s="49" t="n"/>
    </row>
    <row r="155">
      <c r="A155" s="52" t="n"/>
      <c r="B155" s="49" t="n"/>
      <c r="C155" s="49" t="n"/>
      <c r="D155" s="49" t="n"/>
      <c r="E155" s="51" t="n"/>
      <c r="F155" s="49" t="n"/>
      <c r="G155" s="49" t="n"/>
    </row>
    <row r="156">
      <c r="A156" s="52" t="n"/>
      <c r="B156" s="49" t="n"/>
      <c r="C156" s="49" t="n"/>
      <c r="D156" s="49" t="n"/>
      <c r="E156" s="51" t="n"/>
      <c r="F156" s="49" t="n"/>
      <c r="G156" s="49" t="n"/>
    </row>
    <row r="157">
      <c r="A157" s="52" t="n"/>
      <c r="B157" s="49" t="n"/>
      <c r="C157" s="49" t="n"/>
      <c r="D157" s="49" t="n"/>
      <c r="E157" s="51" t="n"/>
      <c r="F157" s="49" t="n"/>
      <c r="G157" s="49" t="n"/>
    </row>
    <row r="158">
      <c r="A158" s="52" t="n"/>
      <c r="B158" s="49" t="n"/>
      <c r="C158" s="49" t="n"/>
      <c r="D158" s="49" t="n"/>
      <c r="E158" s="51" t="n"/>
      <c r="F158" s="49" t="n"/>
      <c r="G158" s="49" t="n"/>
    </row>
    <row r="159">
      <c r="A159" s="52" t="n"/>
      <c r="B159" s="49" t="n"/>
      <c r="C159" s="49" t="n"/>
      <c r="D159" s="49" t="n"/>
      <c r="E159" s="51" t="n"/>
      <c r="F159" s="49" t="n"/>
      <c r="G159" s="49" t="n"/>
    </row>
    <row r="160">
      <c r="A160" s="52" t="n"/>
      <c r="B160" s="49" t="n"/>
      <c r="C160" s="49" t="n"/>
      <c r="D160" s="49" t="n"/>
      <c r="E160" s="51" t="n"/>
      <c r="F160" s="49" t="n"/>
      <c r="G160" s="49" t="n"/>
    </row>
    <row r="161">
      <c r="A161" s="52" t="n"/>
      <c r="B161" s="49" t="n"/>
      <c r="C161" s="49" t="n"/>
      <c r="D161" s="49" t="n"/>
      <c r="E161" s="51" t="n"/>
      <c r="F161" s="49" t="n"/>
      <c r="G161" s="49" t="n"/>
    </row>
    <row r="162">
      <c r="A162" s="52" t="n"/>
      <c r="B162" s="49" t="n"/>
      <c r="C162" s="49" t="n"/>
      <c r="D162" s="49" t="n"/>
      <c r="E162" s="51" t="n"/>
      <c r="F162" s="49" t="n"/>
      <c r="G162" s="49" t="n"/>
    </row>
    <row r="163">
      <c r="A163" s="52" t="n"/>
      <c r="B163" s="49" t="n"/>
      <c r="C163" s="49" t="n"/>
      <c r="D163" s="49" t="n"/>
      <c r="E163" s="51" t="n"/>
      <c r="F163" s="49" t="n"/>
      <c r="G163" s="49" t="n"/>
    </row>
    <row r="164">
      <c r="A164" s="52" t="n"/>
      <c r="B164" s="49" t="n"/>
      <c r="C164" s="49" t="n"/>
      <c r="D164" s="49" t="n"/>
      <c r="E164" s="51" t="n"/>
      <c r="F164" s="49" t="n"/>
      <c r="G164" s="49" t="n"/>
    </row>
    <row r="165">
      <c r="A165" s="52" t="n"/>
      <c r="B165" s="49" t="n"/>
      <c r="C165" s="49" t="n"/>
      <c r="D165" s="49" t="n"/>
      <c r="E165" s="51" t="n"/>
      <c r="F165" s="49" t="n"/>
      <c r="G165" s="49" t="n"/>
    </row>
    <row r="166">
      <c r="A166" s="52" t="n"/>
      <c r="B166" s="49" t="n"/>
      <c r="C166" s="49" t="n"/>
      <c r="D166" s="49" t="n"/>
      <c r="E166" s="51" t="n"/>
      <c r="F166" s="49" t="n"/>
      <c r="G166" s="49" t="n"/>
    </row>
    <row r="167">
      <c r="A167" s="52" t="n"/>
      <c r="B167" s="49" t="n"/>
      <c r="C167" s="49" t="n"/>
      <c r="D167" s="49" t="n"/>
      <c r="E167" s="51" t="n"/>
      <c r="F167" s="49" t="n"/>
      <c r="G167" s="49" t="n"/>
    </row>
    <row r="168">
      <c r="A168" s="52" t="n"/>
      <c r="B168" s="49" t="n"/>
      <c r="C168" s="49" t="n"/>
      <c r="D168" s="49" t="n"/>
      <c r="E168" s="51" t="n"/>
      <c r="F168" s="49" t="n"/>
      <c r="G168" s="49" t="n"/>
    </row>
    <row r="169">
      <c r="A169" s="52" t="n"/>
      <c r="B169" s="49" t="n"/>
      <c r="C169" s="49" t="n"/>
      <c r="D169" s="49" t="n"/>
      <c r="E169" s="51" t="n"/>
      <c r="F169" s="49" t="n"/>
      <c r="G169" s="49" t="n"/>
    </row>
    <row r="170">
      <c r="A170" s="52" t="n"/>
      <c r="B170" s="49" t="n"/>
      <c r="C170" s="49" t="n"/>
      <c r="D170" s="49" t="n"/>
      <c r="E170" s="51" t="n"/>
      <c r="F170" s="49" t="n"/>
      <c r="G170" s="49" t="n"/>
    </row>
    <row r="171">
      <c r="A171" s="52" t="n"/>
      <c r="B171" s="49" t="n"/>
      <c r="C171" s="49" t="n"/>
      <c r="D171" s="49" t="n"/>
      <c r="E171" s="51" t="n"/>
      <c r="F171" s="49" t="n"/>
      <c r="G171" s="49" t="n"/>
    </row>
    <row r="172">
      <c r="A172" s="52" t="n"/>
      <c r="B172" s="49" t="n"/>
      <c r="C172" s="49" t="n"/>
      <c r="D172" s="49" t="n"/>
      <c r="E172" s="51" t="n"/>
      <c r="F172" s="49" t="n"/>
      <c r="G172" s="49" t="n"/>
    </row>
    <row r="173">
      <c r="A173" s="52" t="n"/>
      <c r="B173" s="49" t="n"/>
      <c r="C173" s="49" t="n"/>
      <c r="D173" s="49" t="n"/>
      <c r="E173" s="51" t="n"/>
      <c r="F173" s="49" t="n"/>
      <c r="G173" s="49" t="n"/>
    </row>
    <row r="174">
      <c r="A174" s="52" t="n"/>
      <c r="B174" s="49" t="n"/>
      <c r="C174" s="49" t="n"/>
      <c r="D174" s="49" t="n"/>
      <c r="E174" s="51" t="n"/>
      <c r="F174" s="49" t="n"/>
      <c r="G174" s="49" t="n"/>
    </row>
    <row r="175">
      <c r="A175" s="52" t="n"/>
      <c r="B175" s="49" t="n"/>
      <c r="C175" s="49" t="n"/>
      <c r="D175" s="49" t="n"/>
      <c r="E175" s="51" t="n"/>
      <c r="F175" s="49" t="n"/>
      <c r="G175" s="49" t="n"/>
    </row>
    <row r="176">
      <c r="A176" s="52" t="n"/>
      <c r="B176" s="49" t="n"/>
      <c r="C176" s="49" t="n"/>
      <c r="D176" s="49" t="n"/>
      <c r="E176" s="51" t="n"/>
      <c r="F176" s="49" t="n"/>
      <c r="G176" s="49" t="n"/>
    </row>
    <row r="177">
      <c r="A177" s="52" t="n"/>
      <c r="B177" s="49" t="n"/>
      <c r="C177" s="49" t="n"/>
      <c r="D177" s="49" t="n"/>
      <c r="E177" s="51" t="n"/>
      <c r="F177" s="49" t="n"/>
      <c r="G177" s="49" t="n"/>
    </row>
    <row r="178">
      <c r="A178" s="52" t="n"/>
      <c r="B178" s="49" t="n"/>
      <c r="C178" s="49" t="n"/>
      <c r="D178" s="49" t="n"/>
      <c r="E178" s="51" t="n"/>
      <c r="F178" s="49" t="n"/>
      <c r="G178" s="49" t="n"/>
    </row>
    <row r="179">
      <c r="A179" s="52" t="n"/>
      <c r="B179" s="49" t="n"/>
      <c r="C179" s="49" t="n"/>
      <c r="D179" s="49" t="n"/>
      <c r="E179" s="51" t="n"/>
      <c r="F179" s="49" t="n"/>
      <c r="G179" s="49" t="n"/>
    </row>
    <row r="180">
      <c r="A180" s="52" t="n"/>
      <c r="B180" s="49" t="n"/>
      <c r="C180" s="49" t="n"/>
      <c r="D180" s="49" t="n"/>
      <c r="E180" s="51" t="n"/>
      <c r="F180" s="49" t="n"/>
      <c r="G180" s="49" t="n"/>
    </row>
    <row r="181">
      <c r="A181" s="52" t="n"/>
      <c r="B181" s="49" t="n"/>
      <c r="C181" s="49" t="n"/>
      <c r="D181" s="49" t="n"/>
      <c r="E181" s="51" t="n"/>
      <c r="F181" s="49" t="n"/>
      <c r="G181" s="49" t="n"/>
    </row>
    <row r="182">
      <c r="A182" s="52" t="n"/>
      <c r="B182" s="49" t="n"/>
      <c r="C182" s="49" t="n"/>
      <c r="D182" s="49" t="n"/>
      <c r="E182" s="51" t="n"/>
      <c r="F182" s="49" t="n"/>
      <c r="G182" s="49" t="n"/>
    </row>
    <row r="183">
      <c r="A183" s="52" t="n"/>
      <c r="B183" s="49" t="n"/>
      <c r="C183" s="49" t="n"/>
      <c r="D183" s="49" t="n"/>
      <c r="E183" s="51" t="n"/>
      <c r="F183" s="49" t="n"/>
      <c r="G183" s="49" t="n"/>
    </row>
    <row r="184">
      <c r="A184" s="52" t="n"/>
      <c r="B184" s="49" t="n"/>
      <c r="C184" s="49" t="n"/>
      <c r="D184" s="49" t="n"/>
      <c r="E184" s="51" t="n"/>
      <c r="F184" s="49" t="n"/>
      <c r="G184" s="49" t="n"/>
    </row>
    <row r="185">
      <c r="A185" s="52" t="n"/>
      <c r="B185" s="49" t="n"/>
      <c r="C185" s="49" t="n"/>
      <c r="D185" s="49" t="n"/>
      <c r="E185" s="51" t="n"/>
      <c r="F185" s="49" t="n"/>
      <c r="G185" s="49" t="n"/>
    </row>
    <row r="186">
      <c r="A186" s="52" t="n"/>
      <c r="B186" s="49" t="n"/>
      <c r="C186" s="49" t="n"/>
      <c r="D186" s="49" t="n"/>
      <c r="E186" s="51" t="n"/>
      <c r="F186" s="49" t="n"/>
      <c r="G186" s="49" t="n"/>
    </row>
    <row r="187">
      <c r="A187" s="52" t="n"/>
      <c r="B187" s="49" t="n"/>
      <c r="C187" s="49" t="n"/>
      <c r="D187" s="49" t="n"/>
      <c r="E187" s="51" t="n"/>
      <c r="F187" s="49" t="n"/>
      <c r="G187" s="49" t="n"/>
    </row>
    <row r="188">
      <c r="A188" s="52" t="n"/>
      <c r="B188" s="49" t="n"/>
      <c r="C188" s="49" t="n"/>
      <c r="D188" s="49" t="n"/>
      <c r="E188" s="51" t="n"/>
      <c r="F188" s="49" t="n"/>
      <c r="G188" s="49" t="n"/>
    </row>
    <row r="189">
      <c r="A189" s="52" t="n"/>
      <c r="B189" s="49" t="n"/>
      <c r="C189" s="49" t="n"/>
      <c r="D189" s="49" t="n"/>
      <c r="E189" s="51" t="n"/>
      <c r="F189" s="49" t="n"/>
      <c r="G189" s="49" t="n"/>
    </row>
    <row r="190">
      <c r="A190" s="52" t="n"/>
      <c r="B190" s="49" t="n"/>
      <c r="C190" s="49" t="n"/>
      <c r="D190" s="49" t="n"/>
      <c r="E190" s="51" t="n"/>
      <c r="F190" s="49" t="n"/>
      <c r="G190" s="49" t="n"/>
    </row>
    <row r="191">
      <c r="A191" s="52" t="n"/>
      <c r="B191" s="49" t="n"/>
      <c r="C191" s="49" t="n"/>
      <c r="D191" s="49" t="n"/>
      <c r="E191" s="51" t="n"/>
      <c r="F191" s="49" t="n"/>
      <c r="G191" s="49" t="n"/>
    </row>
    <row r="192">
      <c r="A192" s="52" t="n"/>
      <c r="B192" s="49" t="n"/>
      <c r="C192" s="49" t="n"/>
      <c r="D192" s="49" t="n"/>
      <c r="E192" s="51" t="n"/>
      <c r="F192" s="49" t="n"/>
      <c r="G192" s="49" t="n"/>
    </row>
    <row r="193">
      <c r="A193" s="52" t="n"/>
      <c r="B193" s="49" t="n"/>
      <c r="C193" s="49" t="n"/>
      <c r="D193" s="49" t="n"/>
      <c r="E193" s="51" t="n"/>
      <c r="F193" s="49" t="n"/>
      <c r="G193" s="49" t="n"/>
    </row>
    <row r="194">
      <c r="A194" s="52" t="n"/>
      <c r="B194" s="49" t="n"/>
      <c r="C194" s="49" t="n"/>
      <c r="D194" s="49" t="n"/>
      <c r="E194" s="51" t="n"/>
      <c r="F194" s="49" t="n"/>
      <c r="G194" s="49" t="n"/>
    </row>
    <row r="195">
      <c r="A195" s="52" t="n"/>
      <c r="B195" s="49" t="n"/>
      <c r="C195" s="49" t="n"/>
      <c r="D195" s="49" t="n"/>
      <c r="E195" s="51" t="n"/>
      <c r="F195" s="49" t="n"/>
      <c r="G195" s="49" t="n"/>
    </row>
    <row r="196">
      <c r="A196" s="52" t="n"/>
      <c r="B196" s="49" t="n"/>
      <c r="C196" s="49" t="n"/>
      <c r="D196" s="49" t="n"/>
      <c r="E196" s="51" t="n"/>
      <c r="F196" s="49" t="n"/>
      <c r="G196" s="49" t="n"/>
    </row>
    <row r="197">
      <c r="A197" s="52" t="n"/>
      <c r="B197" s="49" t="n"/>
      <c r="C197" s="49" t="n"/>
      <c r="D197" s="49" t="n"/>
      <c r="E197" s="51" t="n"/>
      <c r="F197" s="49" t="n"/>
      <c r="G197" s="49" t="n"/>
    </row>
    <row r="198">
      <c r="A198" s="52" t="n"/>
      <c r="B198" s="49" t="n"/>
      <c r="C198" s="49" t="n"/>
      <c r="D198" s="49" t="n"/>
      <c r="E198" s="51" t="n"/>
      <c r="F198" s="49" t="n"/>
      <c r="G198" s="49" t="n"/>
    </row>
    <row r="199">
      <c r="A199" s="52" t="n"/>
      <c r="B199" s="49" t="n"/>
      <c r="C199" s="49" t="n"/>
      <c r="D199" s="49" t="n"/>
      <c r="E199" s="51" t="n"/>
      <c r="F199" s="49" t="n"/>
      <c r="G199" s="49" t="n"/>
    </row>
    <row r="200">
      <c r="A200" s="52" t="n"/>
      <c r="B200" s="49" t="n"/>
      <c r="C200" s="49" t="n"/>
      <c r="D200" s="49" t="n"/>
      <c r="E200" s="51" t="n"/>
      <c r="F200" s="49" t="n"/>
      <c r="G200" s="49" t="n"/>
    </row>
    <row r="201">
      <c r="A201" s="52" t="n"/>
      <c r="B201" s="49" t="n"/>
      <c r="C201" s="49" t="n"/>
      <c r="D201" s="49" t="n"/>
      <c r="E201" s="51" t="n"/>
      <c r="F201" s="49" t="n"/>
      <c r="G201" s="49" t="n"/>
    </row>
    <row r="202">
      <c r="A202" s="52" t="n"/>
      <c r="B202" s="49" t="n"/>
      <c r="C202" s="49" t="n"/>
      <c r="D202" s="49" t="n"/>
      <c r="E202" s="51" t="n"/>
      <c r="F202" s="49" t="n"/>
      <c r="G202" s="49" t="n"/>
    </row>
    <row r="203">
      <c r="A203" s="52" t="n"/>
      <c r="B203" s="49" t="n"/>
      <c r="C203" s="49" t="n"/>
      <c r="D203" s="49" t="n"/>
      <c r="E203" s="51" t="n"/>
      <c r="F203" s="49" t="n"/>
      <c r="G203" s="49" t="n"/>
    </row>
    <row r="204">
      <c r="A204" s="52" t="n"/>
      <c r="B204" s="49" t="n"/>
      <c r="C204" s="49" t="n"/>
      <c r="D204" s="49" t="n"/>
      <c r="E204" s="51" t="n"/>
      <c r="F204" s="49" t="n"/>
      <c r="G204" s="49" t="n"/>
    </row>
    <row r="205">
      <c r="A205" s="52" t="n"/>
      <c r="B205" s="49" t="n"/>
      <c r="C205" s="49" t="n"/>
      <c r="D205" s="49" t="n"/>
      <c r="E205" s="51" t="n"/>
      <c r="F205" s="49" t="n"/>
      <c r="G205" s="49" t="n"/>
    </row>
    <row r="206">
      <c r="A206" s="52" t="n"/>
      <c r="B206" s="49" t="n"/>
      <c r="C206" s="49" t="n"/>
      <c r="D206" s="49" t="n"/>
      <c r="E206" s="51" t="n"/>
      <c r="F206" s="49" t="n"/>
      <c r="G206" s="49" t="n"/>
    </row>
    <row r="207">
      <c r="A207" s="52" t="n"/>
      <c r="B207" s="49" t="n"/>
      <c r="C207" s="49" t="n"/>
      <c r="D207" s="49" t="n"/>
      <c r="E207" s="51" t="n"/>
      <c r="F207" s="49" t="n"/>
      <c r="G207" s="49" t="n"/>
    </row>
    <row r="208">
      <c r="A208" s="52" t="n"/>
      <c r="B208" s="49" t="n"/>
      <c r="C208" s="49" t="n"/>
      <c r="D208" s="49" t="n"/>
      <c r="E208" s="51" t="n"/>
      <c r="F208" s="49" t="n"/>
      <c r="G208" s="49" t="n"/>
    </row>
    <row r="209">
      <c r="A209" s="52" t="n"/>
      <c r="B209" s="49" t="n"/>
      <c r="C209" s="49" t="n"/>
      <c r="D209" s="49" t="n"/>
      <c r="E209" s="51" t="n"/>
      <c r="F209" s="49" t="n"/>
      <c r="G209" s="49" t="n"/>
    </row>
    <row r="210">
      <c r="A210" s="52" t="n"/>
      <c r="B210" s="49" t="n"/>
      <c r="C210" s="49" t="n"/>
      <c r="D210" s="49" t="n"/>
      <c r="E210" s="51" t="n"/>
      <c r="F210" s="49" t="n"/>
      <c r="G210" s="49" t="n"/>
    </row>
    <row r="211">
      <c r="A211" s="52" t="n"/>
      <c r="B211" s="49" t="n"/>
      <c r="C211" s="49" t="n"/>
      <c r="D211" s="49" t="n"/>
      <c r="E211" s="51" t="n"/>
      <c r="F211" s="49" t="n"/>
      <c r="G211" s="49" t="n"/>
    </row>
    <row r="212">
      <c r="A212" s="52" t="n"/>
      <c r="B212" s="49" t="n"/>
      <c r="C212" s="49" t="n"/>
      <c r="D212" s="49" t="n"/>
      <c r="E212" s="51" t="n"/>
      <c r="F212" s="49" t="n"/>
      <c r="G212" s="49" t="n"/>
    </row>
    <row r="213">
      <c r="A213" s="52" t="n"/>
      <c r="B213" s="49" t="n"/>
      <c r="C213" s="49" t="n"/>
      <c r="D213" s="49" t="n"/>
      <c r="E213" s="51" t="n"/>
      <c r="F213" s="49" t="n"/>
      <c r="G213" s="49" t="n"/>
    </row>
    <row r="214">
      <c r="A214" s="52" t="n"/>
      <c r="B214" s="49" t="n"/>
      <c r="C214" s="49" t="n"/>
      <c r="D214" s="49" t="n"/>
      <c r="E214" s="51" t="n"/>
      <c r="F214" s="49" t="n"/>
      <c r="G214" s="49" t="n"/>
    </row>
    <row r="215">
      <c r="A215" s="52" t="n"/>
      <c r="B215" s="49" t="n"/>
      <c r="C215" s="49" t="n"/>
      <c r="D215" s="49" t="n"/>
      <c r="E215" s="51" t="n"/>
      <c r="F215" s="49" t="n"/>
      <c r="G215" s="49" t="n"/>
    </row>
    <row r="216">
      <c r="A216" s="52" t="n"/>
      <c r="B216" s="49" t="n"/>
      <c r="C216" s="49" t="n"/>
      <c r="D216" s="49" t="n"/>
      <c r="E216" s="51" t="n"/>
      <c r="F216" s="49" t="n"/>
      <c r="G216" s="49" t="n"/>
    </row>
    <row r="217">
      <c r="A217" s="52" t="n"/>
      <c r="B217" s="49" t="n"/>
      <c r="C217" s="49" t="n"/>
      <c r="D217" s="49" t="n"/>
      <c r="E217" s="51" t="n"/>
      <c r="F217" s="49" t="n"/>
      <c r="G217" s="49" t="n"/>
    </row>
    <row r="218">
      <c r="A218" s="52" t="n"/>
      <c r="B218" s="49" t="n"/>
      <c r="C218" s="49" t="n"/>
      <c r="D218" s="49" t="n"/>
      <c r="E218" s="51" t="n"/>
      <c r="F218" s="49" t="n"/>
      <c r="G218" s="49" t="n"/>
    </row>
    <row r="219">
      <c r="A219" s="52" t="n"/>
      <c r="B219" s="49" t="n"/>
      <c r="C219" s="49" t="n"/>
      <c r="D219" s="49" t="n"/>
      <c r="E219" s="51" t="n"/>
      <c r="F219" s="49" t="n"/>
      <c r="G219" s="49" t="n"/>
    </row>
    <row r="220">
      <c r="A220" s="52" t="n"/>
      <c r="B220" s="49" t="n"/>
      <c r="C220" s="49" t="n"/>
      <c r="D220" s="49" t="n"/>
      <c r="E220" s="51" t="n"/>
      <c r="F220" s="49" t="n"/>
      <c r="G220" s="49" t="n"/>
    </row>
    <row r="221">
      <c r="A221" s="52" t="n"/>
      <c r="B221" s="49" t="n"/>
      <c r="C221" s="49" t="n"/>
      <c r="D221" s="49" t="n"/>
      <c r="E221" s="51" t="n"/>
      <c r="F221" s="49" t="n"/>
      <c r="G221" s="49" t="n"/>
    </row>
    <row r="222">
      <c r="A222" s="52" t="n"/>
      <c r="B222" s="49" t="n"/>
      <c r="C222" s="49" t="n"/>
      <c r="D222" s="49" t="n"/>
      <c r="E222" s="51" t="n"/>
      <c r="F222" s="49" t="n"/>
      <c r="G222" s="49" t="n"/>
    </row>
    <row r="223">
      <c r="A223" s="52" t="n"/>
      <c r="B223" s="49" t="n"/>
      <c r="C223" s="49" t="n"/>
      <c r="D223" s="49" t="n"/>
      <c r="E223" s="51" t="n"/>
      <c r="F223" s="49" t="n"/>
      <c r="G223" s="49" t="n"/>
    </row>
    <row r="224">
      <c r="A224" s="52" t="n"/>
      <c r="B224" s="49" t="n"/>
      <c r="C224" s="49" t="n"/>
      <c r="D224" s="49" t="n"/>
      <c r="E224" s="51" t="n"/>
      <c r="F224" s="49" t="n"/>
      <c r="G224" s="49" t="n"/>
    </row>
    <row r="225">
      <c r="A225" s="52" t="n"/>
      <c r="B225" s="49" t="n"/>
      <c r="C225" s="49" t="n"/>
      <c r="D225" s="49" t="n"/>
      <c r="E225" s="51" t="n"/>
      <c r="F225" s="49" t="n"/>
      <c r="G225" s="49" t="n"/>
    </row>
    <row r="226">
      <c r="A226" s="52" t="n"/>
      <c r="B226" s="49" t="n"/>
      <c r="C226" s="49" t="n"/>
      <c r="D226" s="49" t="n"/>
      <c r="E226" s="51" t="n"/>
      <c r="F226" s="49" t="n"/>
      <c r="G226" s="49" t="n"/>
    </row>
    <row r="227">
      <c r="A227" s="52" t="n"/>
      <c r="B227" s="49" t="n"/>
      <c r="C227" s="49" t="n"/>
      <c r="D227" s="49" t="n"/>
      <c r="E227" s="51" t="n"/>
      <c r="F227" s="49" t="n"/>
      <c r="G227" s="49" t="n"/>
    </row>
    <row r="228">
      <c r="A228" s="52" t="n"/>
      <c r="B228" s="49" t="n"/>
      <c r="C228" s="49" t="n"/>
      <c r="D228" s="49" t="n"/>
      <c r="E228" s="51" t="n"/>
      <c r="F228" s="49" t="n"/>
      <c r="G228" s="49" t="n"/>
    </row>
    <row r="229">
      <c r="A229" s="52" t="n"/>
      <c r="B229" s="49" t="n"/>
      <c r="C229" s="49" t="n"/>
      <c r="D229" s="49" t="n"/>
      <c r="E229" s="51" t="n"/>
      <c r="F229" s="49" t="n"/>
      <c r="G229" s="49" t="n"/>
    </row>
    <row r="230">
      <c r="A230" s="52" t="n"/>
      <c r="B230" s="49" t="n"/>
      <c r="C230" s="49" t="n"/>
      <c r="D230" s="49" t="n"/>
      <c r="E230" s="51" t="n"/>
      <c r="F230" s="49" t="n"/>
      <c r="G230" s="49" t="n"/>
    </row>
    <row r="231">
      <c r="A231" s="52" t="n"/>
      <c r="B231" s="49" t="n"/>
      <c r="C231" s="49" t="n"/>
      <c r="D231" s="49" t="n"/>
      <c r="E231" s="51" t="n"/>
      <c r="F231" s="49" t="n"/>
      <c r="G231" s="49" t="n"/>
    </row>
    <row r="232">
      <c r="A232" s="52" t="n"/>
      <c r="B232" s="49" t="n"/>
      <c r="C232" s="49" t="n"/>
      <c r="D232" s="49" t="n"/>
      <c r="E232" s="51" t="n"/>
      <c r="F232" s="49" t="n"/>
      <c r="G232" s="49" t="n"/>
    </row>
    <row r="233">
      <c r="A233" s="52" t="n"/>
      <c r="B233" s="49" t="n"/>
      <c r="C233" s="49" t="n"/>
      <c r="D233" s="49" t="n"/>
      <c r="E233" s="51" t="n"/>
      <c r="F233" s="49" t="n"/>
      <c r="G233" s="49" t="n"/>
    </row>
    <row r="234">
      <c r="A234" s="52" t="n"/>
      <c r="B234" s="49" t="n"/>
      <c r="C234" s="49" t="n"/>
      <c r="D234" s="49" t="n"/>
      <c r="E234" s="51" t="n"/>
      <c r="F234" s="49" t="n"/>
      <c r="G234" s="49" t="n"/>
    </row>
    <row r="235">
      <c r="A235" s="52" t="n"/>
      <c r="B235" s="49" t="n"/>
      <c r="C235" s="49" t="n"/>
      <c r="D235" s="49" t="n"/>
      <c r="E235" s="51" t="n"/>
      <c r="F235" s="49" t="n"/>
      <c r="G235" s="49" t="n"/>
    </row>
    <row r="236">
      <c r="A236" s="52" t="n"/>
      <c r="B236" s="49" t="n"/>
      <c r="C236" s="49" t="n"/>
      <c r="D236" s="49" t="n"/>
      <c r="E236" s="51" t="n"/>
      <c r="F236" s="49" t="n"/>
      <c r="G236" s="49" t="n"/>
    </row>
    <row r="237">
      <c r="A237" s="52" t="n"/>
      <c r="B237" s="49" t="n"/>
      <c r="C237" s="49" t="n"/>
      <c r="D237" s="49" t="n"/>
      <c r="E237" s="51" t="n"/>
      <c r="F237" s="49" t="n"/>
      <c r="G237" s="49" t="n"/>
    </row>
    <row r="238">
      <c r="A238" s="52" t="n"/>
      <c r="B238" s="49" t="n"/>
      <c r="C238" s="49" t="n"/>
      <c r="D238" s="49" t="n"/>
      <c r="E238" s="51" t="n"/>
      <c r="F238" s="49" t="n"/>
      <c r="G238" s="49" t="n"/>
    </row>
    <row r="239">
      <c r="A239" s="52" t="n"/>
      <c r="B239" s="49" t="n"/>
      <c r="C239" s="49" t="n"/>
      <c r="D239" s="49" t="n"/>
      <c r="E239" s="51" t="n"/>
      <c r="F239" s="49" t="n"/>
      <c r="G239" s="49" t="n"/>
    </row>
    <row r="240">
      <c r="A240" s="52" t="n"/>
      <c r="B240" s="49" t="n"/>
      <c r="C240" s="49" t="n"/>
      <c r="D240" s="49" t="n"/>
      <c r="E240" s="51" t="n"/>
      <c r="F240" s="49" t="n"/>
      <c r="G240" s="49" t="n"/>
    </row>
    <row r="241">
      <c r="A241" s="52" t="n"/>
      <c r="B241" s="49" t="n"/>
      <c r="C241" s="49" t="n"/>
      <c r="D241" s="49" t="n"/>
      <c r="E241" s="51" t="n"/>
      <c r="F241" s="49" t="n"/>
      <c r="G241" s="49" t="n"/>
    </row>
    <row r="242">
      <c r="A242" s="52" t="n"/>
      <c r="B242" s="49" t="n"/>
      <c r="C242" s="49" t="n"/>
      <c r="D242" s="49" t="n"/>
      <c r="E242" s="51" t="n"/>
      <c r="F242" s="49" t="n"/>
      <c r="G242" s="49" t="n"/>
    </row>
    <row r="243">
      <c r="A243" s="52" t="n"/>
      <c r="B243" s="49" t="n"/>
      <c r="C243" s="49" t="n"/>
      <c r="D243" s="49" t="n"/>
      <c r="E243" s="51" t="n"/>
      <c r="F243" s="49" t="n"/>
      <c r="G243" s="49" t="n"/>
    </row>
    <row r="244">
      <c r="A244" s="52" t="n"/>
      <c r="B244" s="49" t="n"/>
      <c r="C244" s="49" t="n"/>
      <c r="D244" s="49" t="n"/>
      <c r="E244" s="51" t="n"/>
      <c r="F244" s="49" t="n"/>
      <c r="G244" s="49" t="n"/>
    </row>
    <row r="245">
      <c r="A245" s="52" t="n"/>
      <c r="B245" s="49" t="n"/>
      <c r="C245" s="49" t="n"/>
      <c r="D245" s="49" t="n"/>
      <c r="E245" s="51" t="n"/>
      <c r="F245" s="49" t="n"/>
      <c r="G245" s="49" t="n"/>
    </row>
    <row r="246">
      <c r="A246" s="52" t="n"/>
      <c r="B246" s="49" t="n"/>
      <c r="C246" s="49" t="n"/>
      <c r="D246" s="49" t="n"/>
      <c r="E246" s="51" t="n"/>
      <c r="F246" s="49" t="n"/>
      <c r="G246" s="49" t="n"/>
    </row>
    <row r="247">
      <c r="A247" s="52" t="n"/>
      <c r="B247" s="49" t="n"/>
      <c r="C247" s="49" t="n"/>
      <c r="D247" s="49" t="n"/>
      <c r="E247" s="51" t="n"/>
      <c r="F247" s="49" t="n"/>
      <c r="G247" s="49" t="n"/>
    </row>
    <row r="248">
      <c r="A248" s="52" t="n"/>
      <c r="B248" s="49" t="n"/>
      <c r="C248" s="49" t="n"/>
      <c r="D248" s="49" t="n"/>
      <c r="E248" s="51" t="n"/>
      <c r="F248" s="49" t="n"/>
      <c r="G248" s="49" t="n"/>
    </row>
    <row r="249">
      <c r="A249" s="52" t="n"/>
      <c r="B249" s="49" t="n"/>
      <c r="C249" s="49" t="n"/>
      <c r="D249" s="49" t="n"/>
      <c r="E249" s="51" t="n"/>
      <c r="F249" s="49" t="n"/>
      <c r="G249" s="49" t="n"/>
    </row>
    <row r="250">
      <c r="A250" s="52" t="n"/>
      <c r="B250" s="49" t="n"/>
      <c r="C250" s="49" t="n"/>
      <c r="D250" s="49" t="n"/>
      <c r="E250" s="51" t="n"/>
      <c r="F250" s="49" t="n"/>
      <c r="G250" s="49" t="n"/>
    </row>
    <row r="251">
      <c r="A251" s="52" t="n"/>
      <c r="B251" s="49" t="n"/>
      <c r="C251" s="49" t="n"/>
      <c r="D251" s="49" t="n"/>
      <c r="E251" s="51" t="n"/>
      <c r="F251" s="49" t="n"/>
      <c r="G251" s="49" t="n"/>
    </row>
    <row r="252">
      <c r="A252" s="52" t="n"/>
      <c r="B252" s="49" t="n"/>
      <c r="C252" s="49" t="n"/>
      <c r="D252" s="49" t="n"/>
      <c r="E252" s="51" t="n"/>
      <c r="F252" s="49" t="n"/>
      <c r="G252" s="49" t="n"/>
    </row>
    <row r="253">
      <c r="A253" s="52" t="n"/>
      <c r="B253" s="49" t="n"/>
      <c r="C253" s="49" t="n"/>
      <c r="D253" s="49" t="n"/>
      <c r="E253" s="51" t="n"/>
      <c r="F253" s="49" t="n"/>
      <c r="G253" s="49" t="n"/>
    </row>
    <row r="254">
      <c r="A254" s="52" t="n"/>
      <c r="B254" s="49" t="n"/>
      <c r="C254" s="49" t="n"/>
      <c r="D254" s="49" t="n"/>
      <c r="E254" s="51" t="n"/>
      <c r="F254" s="49" t="n"/>
      <c r="G254" s="49" t="n"/>
    </row>
    <row r="255">
      <c r="A255" s="52" t="n"/>
      <c r="B255" s="49" t="n"/>
      <c r="C255" s="49" t="n"/>
      <c r="D255" s="49" t="n"/>
      <c r="E255" s="51" t="n"/>
      <c r="F255" s="49" t="n"/>
      <c r="G255" s="49" t="n"/>
    </row>
    <row r="256">
      <c r="A256" s="52" t="n"/>
      <c r="B256" s="49" t="n"/>
      <c r="C256" s="49" t="n"/>
      <c r="D256" s="49" t="n"/>
      <c r="E256" s="51" t="n"/>
      <c r="F256" s="49" t="n"/>
      <c r="G256" s="49" t="n"/>
    </row>
    <row r="257">
      <c r="A257" s="52" t="n"/>
      <c r="B257" s="49" t="n"/>
      <c r="C257" s="49" t="n"/>
      <c r="D257" s="49" t="n"/>
      <c r="E257" s="51" t="n"/>
      <c r="F257" s="49" t="n"/>
      <c r="G257" s="49" t="n"/>
    </row>
    <row r="258">
      <c r="A258" s="52" t="n"/>
      <c r="B258" s="49" t="n"/>
      <c r="C258" s="49" t="n"/>
      <c r="D258" s="49" t="n"/>
      <c r="E258" s="51" t="n"/>
      <c r="F258" s="49" t="n"/>
      <c r="G258" s="49" t="n"/>
    </row>
    <row r="259">
      <c r="A259" s="52" t="n"/>
      <c r="B259" s="49" t="n"/>
      <c r="C259" s="49" t="n"/>
      <c r="D259" s="49" t="n"/>
      <c r="E259" s="51" t="n"/>
      <c r="F259" s="49" t="n"/>
      <c r="G259" s="49" t="n"/>
    </row>
    <row r="260">
      <c r="A260" s="52" t="n"/>
      <c r="B260" s="49" t="n"/>
      <c r="C260" s="49" t="n"/>
      <c r="D260" s="49" t="n"/>
      <c r="E260" s="51" t="n"/>
      <c r="F260" s="49" t="n"/>
      <c r="G260" s="49" t="n"/>
    </row>
    <row r="261">
      <c r="A261" s="52" t="n"/>
      <c r="B261" s="49" t="n"/>
      <c r="C261" s="49" t="n"/>
      <c r="D261" s="49" t="n"/>
      <c r="E261" s="51" t="n"/>
      <c r="F261" s="49" t="n"/>
      <c r="G261" s="49" t="n"/>
    </row>
    <row r="262">
      <c r="A262" s="52" t="n"/>
      <c r="B262" s="49" t="n"/>
      <c r="C262" s="49" t="n"/>
      <c r="D262" s="49" t="n"/>
      <c r="E262" s="51" t="n"/>
      <c r="F262" s="49" t="n"/>
      <c r="G262" s="49" t="n"/>
    </row>
    <row r="263">
      <c r="A263" s="52" t="n"/>
      <c r="B263" s="49" t="n"/>
      <c r="C263" s="49" t="n"/>
      <c r="D263" s="49" t="n"/>
      <c r="E263" s="51" t="n"/>
      <c r="F263" s="49" t="n"/>
      <c r="G263" s="49" t="n"/>
    </row>
    <row r="264">
      <c r="A264" s="52" t="n"/>
      <c r="B264" s="49" t="n"/>
      <c r="C264" s="49" t="n"/>
      <c r="D264" s="49" t="n"/>
      <c r="E264" s="51" t="n"/>
      <c r="F264" s="49" t="n"/>
      <c r="G264" s="49" t="n"/>
    </row>
    <row r="265">
      <c r="A265" s="52" t="n"/>
      <c r="B265" s="49" t="n"/>
      <c r="C265" s="49" t="n"/>
      <c r="D265" s="49" t="n"/>
      <c r="E265" s="51" t="n"/>
      <c r="F265" s="49" t="n"/>
      <c r="G265" s="49" t="n"/>
    </row>
    <row r="266">
      <c r="A266" s="52" t="n"/>
      <c r="B266" s="49" t="n"/>
      <c r="C266" s="49" t="n"/>
      <c r="D266" s="49" t="n"/>
      <c r="E266" s="51" t="n"/>
      <c r="F266" s="49" t="n"/>
      <c r="G266" s="49" t="n"/>
    </row>
    <row r="267">
      <c r="A267" s="52" t="n"/>
      <c r="B267" s="49" t="n"/>
      <c r="C267" s="49" t="n"/>
      <c r="D267" s="49" t="n"/>
      <c r="E267" s="51" t="n"/>
      <c r="F267" s="49" t="n"/>
      <c r="G267" s="49" t="n"/>
    </row>
    <row r="268">
      <c r="A268" s="52" t="n"/>
      <c r="B268" s="49" t="n"/>
      <c r="C268" s="49" t="n"/>
      <c r="D268" s="49" t="n"/>
      <c r="E268" s="51" t="n"/>
      <c r="F268" s="49" t="n"/>
      <c r="G268" s="49" t="n"/>
    </row>
    <row r="269">
      <c r="A269" s="52" t="n"/>
      <c r="B269" s="49" t="n"/>
      <c r="C269" s="49" t="n"/>
      <c r="D269" s="49" t="n"/>
      <c r="E269" s="51" t="n"/>
      <c r="F269" s="49" t="n"/>
      <c r="G269" s="49" t="n"/>
    </row>
    <row r="270">
      <c r="A270" s="52" t="n"/>
      <c r="B270" s="49" t="n"/>
      <c r="C270" s="49" t="n"/>
      <c r="D270" s="49" t="n"/>
      <c r="E270" s="51" t="n"/>
      <c r="F270" s="49" t="n"/>
      <c r="G270" s="49" t="n"/>
    </row>
    <row r="271">
      <c r="A271" s="52" t="n"/>
      <c r="B271" s="49" t="n"/>
      <c r="C271" s="49" t="n"/>
      <c r="D271" s="49" t="n"/>
      <c r="E271" s="51" t="n"/>
      <c r="F271" s="49" t="n"/>
      <c r="G271" s="49" t="n"/>
    </row>
    <row r="272">
      <c r="A272" s="52" t="n"/>
      <c r="B272" s="49" t="n"/>
      <c r="C272" s="49" t="n"/>
      <c r="D272" s="49" t="n"/>
      <c r="E272" s="51" t="n"/>
      <c r="F272" s="49" t="n"/>
      <c r="G272" s="49" t="n"/>
    </row>
    <row r="273">
      <c r="A273" s="52" t="n"/>
      <c r="B273" s="49" t="n"/>
      <c r="C273" s="49" t="n"/>
      <c r="D273" s="49" t="n"/>
      <c r="E273" s="51" t="n"/>
      <c r="F273" s="49" t="n"/>
      <c r="G273" s="49" t="n"/>
    </row>
    <row r="274">
      <c r="A274" s="52" t="n"/>
      <c r="B274" s="49" t="n"/>
      <c r="C274" s="49" t="n"/>
      <c r="D274" s="49" t="n"/>
      <c r="E274" s="51" t="n"/>
      <c r="F274" s="49" t="n"/>
      <c r="G274" s="49" t="n"/>
    </row>
    <row r="275">
      <c r="A275" s="52" t="n"/>
      <c r="B275" s="49" t="n"/>
      <c r="C275" s="49" t="n"/>
      <c r="D275" s="49" t="n"/>
      <c r="E275" s="51" t="n"/>
      <c r="F275" s="49" t="n"/>
      <c r="G275" s="49" t="n"/>
    </row>
    <row r="276">
      <c r="A276" s="52" t="n"/>
      <c r="B276" s="49" t="n"/>
      <c r="C276" s="49" t="n"/>
      <c r="D276" s="49" t="n"/>
      <c r="E276" s="51" t="n"/>
      <c r="F276" s="49" t="n"/>
      <c r="G276" s="49" t="n"/>
    </row>
    <row r="277">
      <c r="A277" s="52" t="n"/>
      <c r="B277" s="49" t="n"/>
      <c r="C277" s="49" t="n"/>
      <c r="D277" s="49" t="n"/>
      <c r="E277" s="51" t="n"/>
      <c r="F277" s="49" t="n"/>
      <c r="G277" s="49" t="n"/>
    </row>
    <row r="278">
      <c r="A278" s="52" t="n"/>
      <c r="B278" s="49" t="n"/>
      <c r="C278" s="49" t="n"/>
      <c r="D278" s="49" t="n"/>
      <c r="E278" s="51" t="n"/>
      <c r="F278" s="49" t="n"/>
      <c r="G278" s="49" t="n"/>
    </row>
    <row r="279">
      <c r="A279" s="52" t="n"/>
      <c r="B279" s="49" t="n"/>
      <c r="C279" s="49" t="n"/>
      <c r="D279" s="49" t="n"/>
      <c r="E279" s="51" t="n"/>
      <c r="F279" s="49" t="n"/>
      <c r="G279" s="49" t="n"/>
    </row>
    <row r="280">
      <c r="A280" s="52" t="n"/>
      <c r="B280" s="49" t="n"/>
      <c r="C280" s="49" t="n"/>
      <c r="D280" s="49" t="n"/>
      <c r="E280" s="51" t="n"/>
      <c r="F280" s="49" t="n"/>
      <c r="G280" s="49" t="n"/>
    </row>
    <row r="281">
      <c r="A281" s="52" t="n"/>
      <c r="B281" s="49" t="n"/>
      <c r="C281" s="49" t="n"/>
      <c r="D281" s="49" t="n"/>
      <c r="E281" s="51" t="n"/>
      <c r="F281" s="49" t="n"/>
      <c r="G281" s="49" t="n"/>
    </row>
    <row r="282">
      <c r="A282" s="52" t="n"/>
      <c r="B282" s="49" t="n"/>
      <c r="C282" s="49" t="n"/>
      <c r="D282" s="49" t="n"/>
      <c r="E282" s="51" t="n"/>
      <c r="F282" s="49" t="n"/>
      <c r="G282" s="49" t="n"/>
    </row>
    <row r="283">
      <c r="A283" s="52" t="n"/>
      <c r="B283" s="49" t="n"/>
      <c r="C283" s="49" t="n"/>
      <c r="D283" s="49" t="n"/>
      <c r="E283" s="51" t="n"/>
      <c r="F283" s="49" t="n"/>
      <c r="G283" s="49" t="n"/>
    </row>
    <row r="284">
      <c r="A284" s="52" t="n"/>
      <c r="B284" s="49" t="n"/>
      <c r="C284" s="49" t="n"/>
      <c r="D284" s="49" t="n"/>
      <c r="E284" s="51" t="n"/>
      <c r="F284" s="49" t="n"/>
      <c r="G284" s="49" t="n"/>
    </row>
    <row r="285">
      <c r="A285" s="52" t="n"/>
      <c r="B285" s="49" t="n"/>
      <c r="C285" s="49" t="n"/>
      <c r="D285" s="49" t="n"/>
      <c r="E285" s="51" t="n"/>
      <c r="F285" s="49" t="n"/>
      <c r="G285" s="49" t="n"/>
    </row>
    <row r="286">
      <c r="A286" s="52" t="n"/>
      <c r="B286" s="49" t="n"/>
      <c r="C286" s="49" t="n"/>
      <c r="D286" s="49" t="n"/>
      <c r="E286" s="51" t="n"/>
      <c r="F286" s="49" t="n"/>
      <c r="G286" s="49" t="n"/>
    </row>
    <row r="287">
      <c r="A287" s="52" t="n"/>
      <c r="B287" s="49" t="n"/>
      <c r="C287" s="49" t="n"/>
      <c r="D287" s="49" t="n"/>
      <c r="E287" s="51" t="n"/>
      <c r="F287" s="49" t="n"/>
      <c r="G287" s="49" t="n"/>
    </row>
    <row r="288">
      <c r="A288" s="52" t="n"/>
      <c r="B288" s="49" t="n"/>
      <c r="C288" s="49" t="n"/>
      <c r="D288" s="49" t="n"/>
      <c r="E288" s="51" t="n"/>
      <c r="F288" s="49" t="n"/>
      <c r="G288" s="49" t="n"/>
    </row>
    <row r="289">
      <c r="A289" s="52" t="n"/>
      <c r="B289" s="49" t="n"/>
      <c r="C289" s="49" t="n"/>
      <c r="D289" s="49" t="n"/>
      <c r="E289" s="51" t="n"/>
      <c r="F289" s="49" t="n"/>
      <c r="G289" s="49" t="n"/>
    </row>
    <row r="290">
      <c r="A290" s="52" t="n"/>
      <c r="B290" s="49" t="n"/>
      <c r="C290" s="49" t="n"/>
      <c r="D290" s="49" t="n"/>
      <c r="E290" s="51" t="n"/>
      <c r="F290" s="49" t="n"/>
      <c r="G290" s="49" t="n"/>
    </row>
    <row r="291">
      <c r="A291" s="52" t="n"/>
      <c r="B291" s="49" t="n"/>
      <c r="C291" s="49" t="n"/>
      <c r="D291" s="49" t="n"/>
      <c r="E291" s="51" t="n"/>
      <c r="F291" s="49" t="n"/>
      <c r="G291" s="49" t="n"/>
    </row>
    <row r="292">
      <c r="A292" s="52" t="n"/>
      <c r="B292" s="49" t="n"/>
      <c r="C292" s="49" t="n"/>
      <c r="D292" s="49" t="n"/>
      <c r="E292" s="51" t="n"/>
      <c r="F292" s="49" t="n"/>
      <c r="G292" s="49" t="n"/>
    </row>
    <row r="293">
      <c r="A293" s="52" t="n"/>
      <c r="B293" s="49" t="n"/>
      <c r="C293" s="49" t="n"/>
      <c r="D293" s="49" t="n"/>
      <c r="E293" s="51" t="n"/>
      <c r="F293" s="49" t="n"/>
      <c r="G293" s="49" t="n"/>
    </row>
    <row r="294">
      <c r="A294" s="52" t="n"/>
      <c r="B294" s="49" t="n"/>
      <c r="C294" s="49" t="n"/>
      <c r="D294" s="49" t="n"/>
      <c r="E294" s="51" t="n"/>
      <c r="F294" s="49" t="n"/>
      <c r="G294" s="49" t="n"/>
    </row>
    <row r="295">
      <c r="A295" s="52" t="n"/>
      <c r="B295" s="49" t="n"/>
      <c r="C295" s="49" t="n"/>
      <c r="D295" s="49" t="n"/>
      <c r="E295" s="51" t="n"/>
      <c r="F295" s="49" t="n"/>
      <c r="G295" s="49" t="n"/>
    </row>
    <row r="296">
      <c r="A296" s="52" t="n"/>
      <c r="B296" s="49" t="n"/>
      <c r="C296" s="49" t="n"/>
      <c r="D296" s="49" t="n"/>
      <c r="E296" s="51" t="n"/>
      <c r="F296" s="49" t="n"/>
      <c r="G296" s="49" t="n"/>
    </row>
    <row r="297">
      <c r="A297" s="52" t="n"/>
      <c r="B297" s="49" t="n"/>
      <c r="C297" s="49" t="n"/>
      <c r="D297" s="49" t="n"/>
      <c r="E297" s="51" t="n"/>
      <c r="F297" s="49" t="n"/>
      <c r="G297" s="49" t="n"/>
    </row>
    <row r="298">
      <c r="A298" s="52" t="n"/>
      <c r="B298" s="49" t="n"/>
      <c r="C298" s="49" t="n"/>
      <c r="D298" s="49" t="n"/>
      <c r="E298" s="51" t="n"/>
      <c r="F298" s="49" t="n"/>
      <c r="G298" s="49" t="n"/>
    </row>
    <row r="299">
      <c r="A299" s="52" t="n"/>
      <c r="B299" s="49" t="n"/>
      <c r="C299" s="49" t="n"/>
      <c r="D299" s="49" t="n"/>
      <c r="E299" s="51" t="n"/>
      <c r="F299" s="49" t="n"/>
      <c r="G299" s="49" t="n"/>
    </row>
    <row r="300">
      <c r="A300" s="52" t="n"/>
      <c r="B300" s="49" t="n"/>
      <c r="C300" s="49" t="n"/>
      <c r="D300" s="49" t="n"/>
      <c r="E300" s="51" t="n"/>
      <c r="F300" s="49" t="n"/>
      <c r="G300" s="49" t="n"/>
    </row>
    <row r="301">
      <c r="A301" s="52" t="n"/>
      <c r="B301" s="49" t="n"/>
      <c r="C301" s="49" t="n"/>
      <c r="D301" s="49" t="n"/>
      <c r="E301" s="51" t="n"/>
      <c r="F301" s="49" t="n"/>
      <c r="G301" s="49" t="n"/>
    </row>
    <row r="302">
      <c r="A302" s="52" t="n"/>
      <c r="B302" s="49" t="n"/>
      <c r="C302" s="49" t="n"/>
      <c r="D302" s="49" t="n"/>
      <c r="E302" s="51" t="n"/>
      <c r="F302" s="49" t="n"/>
      <c r="G302" s="49" t="n"/>
    </row>
    <row r="303">
      <c r="A303" s="52" t="n"/>
      <c r="B303" s="49" t="n"/>
      <c r="C303" s="49" t="n"/>
      <c r="D303" s="49" t="n"/>
      <c r="E303" s="51" t="n"/>
      <c r="F303" s="49" t="n"/>
      <c r="G303" s="49" t="n"/>
    </row>
    <row r="304">
      <c r="A304" s="52" t="n"/>
      <c r="B304" s="49" t="n"/>
      <c r="C304" s="49" t="n"/>
      <c r="D304" s="49" t="n"/>
      <c r="E304" s="51" t="n"/>
      <c r="F304" s="49" t="n"/>
      <c r="G304" s="49" t="n"/>
    </row>
    <row r="305">
      <c r="A305" s="52" t="n"/>
      <c r="B305" s="49" t="n"/>
      <c r="C305" s="49" t="n"/>
      <c r="D305" s="49" t="n"/>
      <c r="E305" s="51" t="n"/>
      <c r="F305" s="49" t="n"/>
      <c r="G305" s="49" t="n"/>
    </row>
    <row r="306">
      <c r="A306" s="52" t="n"/>
      <c r="B306" s="49" t="n"/>
      <c r="C306" s="49" t="n"/>
      <c r="D306" s="49" t="n"/>
      <c r="E306" s="51" t="n"/>
      <c r="F306" s="49" t="n"/>
      <c r="G306" s="49" t="n"/>
    </row>
    <row r="307">
      <c r="A307" s="52" t="n"/>
      <c r="B307" s="49" t="n"/>
      <c r="C307" s="49" t="n"/>
      <c r="D307" s="49" t="n"/>
      <c r="E307" s="51" t="n"/>
      <c r="F307" s="49" t="n"/>
      <c r="G307" s="49" t="n"/>
    </row>
    <row r="308">
      <c r="A308" s="52" t="n"/>
      <c r="B308" s="49" t="n"/>
      <c r="C308" s="49" t="n"/>
      <c r="D308" s="49" t="n"/>
      <c r="E308" s="51" t="n"/>
      <c r="F308" s="49" t="n"/>
      <c r="G308" s="49" t="n"/>
    </row>
    <row r="309">
      <c r="A309" s="52" t="n"/>
      <c r="B309" s="49" t="n"/>
      <c r="C309" s="49" t="n"/>
      <c r="D309" s="49" t="n"/>
      <c r="E309" s="51" t="n"/>
      <c r="F309" s="49" t="n"/>
      <c r="G309" s="49" t="n"/>
    </row>
    <row r="310">
      <c r="A310" s="52" t="n"/>
      <c r="B310" s="49" t="n"/>
      <c r="C310" s="49" t="n"/>
      <c r="D310" s="49" t="n"/>
      <c r="E310" s="51" t="n"/>
      <c r="F310" s="49" t="n"/>
      <c r="G310" s="49" t="n"/>
    </row>
    <row r="311">
      <c r="A311" s="52" t="n"/>
      <c r="B311" s="49" t="n"/>
      <c r="C311" s="49" t="n"/>
      <c r="D311" s="49" t="n"/>
      <c r="E311" s="51" t="n"/>
      <c r="F311" s="49" t="n"/>
      <c r="G311" s="49" t="n"/>
    </row>
    <row r="312">
      <c r="A312" s="52" t="n"/>
      <c r="B312" s="49" t="n"/>
      <c r="C312" s="49" t="n"/>
      <c r="D312" s="49" t="n"/>
      <c r="E312" s="51" t="n"/>
      <c r="F312" s="49" t="n"/>
      <c r="G312" s="49" t="n"/>
    </row>
    <row r="313">
      <c r="A313" s="52" t="n"/>
      <c r="B313" s="49" t="n"/>
      <c r="C313" s="49" t="n"/>
      <c r="D313" s="49" t="n"/>
      <c r="E313" s="51" t="n"/>
      <c r="F313" s="49" t="n"/>
      <c r="G313" s="49" t="n"/>
    </row>
    <row r="314">
      <c r="A314" s="52" t="n"/>
      <c r="B314" s="49" t="n"/>
      <c r="C314" s="49" t="n"/>
      <c r="D314" s="49" t="n"/>
      <c r="E314" s="51" t="n"/>
      <c r="F314" s="49" t="n"/>
      <c r="G314" s="49" t="n"/>
    </row>
    <row r="315">
      <c r="A315" s="52" t="n"/>
      <c r="B315" s="49" t="n"/>
      <c r="C315" s="49" t="n"/>
      <c r="D315" s="49" t="n"/>
      <c r="E315" s="51" t="n"/>
      <c r="F315" s="49" t="n"/>
      <c r="G315" s="49" t="n"/>
    </row>
    <row r="316">
      <c r="A316" s="52" t="n"/>
      <c r="B316" s="49" t="n"/>
      <c r="C316" s="49" t="n"/>
      <c r="D316" s="49" t="n"/>
      <c r="E316" s="51" t="n"/>
      <c r="F316" s="49" t="n"/>
      <c r="G316" s="49" t="n"/>
    </row>
    <row r="317">
      <c r="A317" s="52" t="n"/>
      <c r="B317" s="49" t="n"/>
      <c r="C317" s="49" t="n"/>
      <c r="D317" s="49" t="n"/>
      <c r="E317" s="51" t="n"/>
      <c r="F317" s="49" t="n"/>
      <c r="G317" s="49" t="n"/>
    </row>
    <row r="318">
      <c r="A318" s="52" t="n"/>
      <c r="B318" s="49" t="n"/>
      <c r="C318" s="49" t="n"/>
      <c r="D318" s="49" t="n"/>
      <c r="E318" s="51" t="n"/>
      <c r="F318" s="49" t="n"/>
      <c r="G318" s="49" t="n"/>
    </row>
    <row r="319">
      <c r="A319" s="52" t="n"/>
      <c r="B319" s="49" t="n"/>
      <c r="C319" s="49" t="n"/>
      <c r="D319" s="49" t="n"/>
      <c r="E319" s="51" t="n"/>
      <c r="F319" s="49" t="n"/>
      <c r="G319" s="49" t="n"/>
    </row>
    <row r="320">
      <c r="A320" s="52" t="n"/>
      <c r="B320" s="49" t="n"/>
      <c r="C320" s="49" t="n"/>
      <c r="D320" s="49" t="n"/>
      <c r="E320" s="51" t="n"/>
      <c r="F320" s="49" t="n"/>
      <c r="G320" s="49" t="n"/>
    </row>
    <row r="321">
      <c r="A321" s="52" t="n"/>
      <c r="B321" s="49" t="n"/>
      <c r="C321" s="49" t="n"/>
      <c r="D321" s="49" t="n"/>
      <c r="E321" s="51" t="n"/>
      <c r="F321" s="49" t="n"/>
      <c r="G321" s="49" t="n"/>
    </row>
    <row r="322">
      <c r="A322" s="52" t="n"/>
      <c r="B322" s="49" t="n"/>
      <c r="C322" s="49" t="n"/>
      <c r="D322" s="49" t="n"/>
      <c r="E322" s="51" t="n"/>
      <c r="F322" s="49" t="n"/>
      <c r="G322" s="49" t="n"/>
    </row>
    <row r="323">
      <c r="A323" s="52" t="n"/>
      <c r="B323" s="49" t="n"/>
      <c r="C323" s="49" t="n"/>
      <c r="D323" s="49" t="n"/>
      <c r="E323" s="51" t="n"/>
      <c r="F323" s="49" t="n"/>
      <c r="G323" s="49" t="n"/>
    </row>
    <row r="324">
      <c r="A324" s="52" t="n"/>
      <c r="B324" s="49" t="n"/>
      <c r="C324" s="49" t="n"/>
      <c r="D324" s="49" t="n"/>
      <c r="E324" s="51" t="n"/>
      <c r="F324" s="49" t="n"/>
      <c r="G324" s="49" t="n"/>
    </row>
    <row r="325">
      <c r="A325" s="52" t="n"/>
      <c r="B325" s="49" t="n"/>
      <c r="C325" s="49" t="n"/>
      <c r="D325" s="49" t="n"/>
      <c r="E325" s="51" t="n"/>
      <c r="F325" s="49" t="n"/>
      <c r="G325" s="49" t="n"/>
    </row>
    <row r="326">
      <c r="A326" s="52" t="n"/>
      <c r="B326" s="49" t="n"/>
      <c r="C326" s="49" t="n"/>
      <c r="D326" s="49" t="n"/>
      <c r="E326" s="51" t="n"/>
      <c r="F326" s="49" t="n"/>
      <c r="G326" s="49" t="n"/>
    </row>
    <row r="327">
      <c r="A327" s="52" t="n"/>
      <c r="B327" s="49" t="n"/>
      <c r="C327" s="49" t="n"/>
      <c r="D327" s="49" t="n"/>
      <c r="E327" s="51" t="n"/>
      <c r="F327" s="49" t="n"/>
      <c r="G327" s="49" t="n"/>
    </row>
    <row r="328">
      <c r="A328" s="52" t="n"/>
      <c r="B328" s="49" t="n"/>
      <c r="C328" s="49" t="n"/>
      <c r="D328" s="49" t="n"/>
      <c r="E328" s="51" t="n"/>
      <c r="F328" s="49" t="n"/>
      <c r="G328" s="49" t="n"/>
    </row>
    <row r="329">
      <c r="A329" s="52" t="n"/>
      <c r="B329" s="49" t="n"/>
      <c r="C329" s="49" t="n"/>
      <c r="D329" s="49" t="n"/>
      <c r="E329" s="51" t="n"/>
      <c r="F329" s="49" t="n"/>
      <c r="G329" s="49" t="n"/>
    </row>
    <row r="330">
      <c r="A330" s="52" t="n"/>
      <c r="B330" s="49" t="n"/>
      <c r="C330" s="49" t="n"/>
      <c r="D330" s="49" t="n"/>
      <c r="E330" s="51" t="n"/>
      <c r="F330" s="49" t="n"/>
      <c r="G330" s="49" t="n"/>
    </row>
    <row r="331">
      <c r="A331" s="52" t="n"/>
      <c r="B331" s="49" t="n"/>
      <c r="C331" s="49" t="n"/>
      <c r="D331" s="49" t="n"/>
      <c r="E331" s="51" t="n"/>
      <c r="F331" s="49" t="n"/>
      <c r="G331" s="49" t="n"/>
    </row>
    <row r="332">
      <c r="A332" s="52" t="n"/>
      <c r="B332" s="49" t="n"/>
      <c r="C332" s="49" t="n"/>
      <c r="D332" s="49" t="n"/>
      <c r="E332" s="51" t="n"/>
      <c r="F332" s="49" t="n"/>
      <c r="G332" s="49" t="n"/>
    </row>
    <row r="333">
      <c r="A333" s="52" t="n"/>
      <c r="B333" s="49" t="n"/>
      <c r="C333" s="49" t="n"/>
      <c r="D333" s="49" t="n"/>
      <c r="E333" s="51" t="n"/>
      <c r="F333" s="49" t="n"/>
      <c r="G333" s="49" t="n"/>
    </row>
    <row r="334">
      <c r="A334" s="52" t="n"/>
      <c r="B334" s="49" t="n"/>
      <c r="C334" s="49" t="n"/>
      <c r="D334" s="49" t="n"/>
      <c r="E334" s="51" t="n"/>
      <c r="F334" s="49" t="n"/>
      <c r="G334" s="49" t="n"/>
    </row>
    <row r="335">
      <c r="A335" s="52" t="n"/>
      <c r="B335" s="49" t="n"/>
      <c r="C335" s="49" t="n"/>
      <c r="D335" s="49" t="n"/>
      <c r="E335" s="51" t="n"/>
      <c r="F335" s="49" t="n"/>
      <c r="G335" s="49" t="n"/>
    </row>
    <row r="336">
      <c r="A336" s="52" t="n"/>
      <c r="B336" s="49" t="n"/>
      <c r="C336" s="49" t="n"/>
      <c r="D336" s="49" t="n"/>
      <c r="E336" s="51" t="n"/>
      <c r="F336" s="49" t="n"/>
      <c r="G336" s="49" t="n"/>
    </row>
    <row r="337">
      <c r="A337" s="52" t="n"/>
      <c r="B337" s="49" t="n"/>
      <c r="C337" s="49" t="n"/>
      <c r="D337" s="49" t="n"/>
      <c r="E337" s="51" t="n"/>
      <c r="F337" s="49" t="n"/>
      <c r="G337" s="49" t="n"/>
    </row>
    <row r="338">
      <c r="A338" s="52" t="n"/>
      <c r="B338" s="49" t="n"/>
      <c r="C338" s="49" t="n"/>
      <c r="D338" s="49" t="n"/>
      <c r="E338" s="51" t="n"/>
      <c r="F338" s="49" t="n"/>
      <c r="G338" s="49" t="n"/>
    </row>
    <row r="339">
      <c r="A339" s="52" t="n"/>
      <c r="B339" s="49" t="n"/>
      <c r="C339" s="49" t="n"/>
      <c r="D339" s="49" t="n"/>
      <c r="E339" s="51" t="n"/>
      <c r="F339" s="49" t="n"/>
      <c r="G339" s="49" t="n"/>
    </row>
    <row r="340">
      <c r="A340" s="52" t="n"/>
      <c r="B340" s="49" t="n"/>
      <c r="C340" s="49" t="n"/>
      <c r="D340" s="49" t="n"/>
      <c r="E340" s="51" t="n"/>
      <c r="F340" s="49" t="n"/>
      <c r="G340" s="49" t="n"/>
    </row>
    <row r="341">
      <c r="A341" s="52" t="n"/>
      <c r="B341" s="49" t="n"/>
      <c r="C341" s="49" t="n"/>
      <c r="D341" s="49" t="n"/>
      <c r="E341" s="51" t="n"/>
      <c r="F341" s="49" t="n"/>
      <c r="G341" s="49" t="n"/>
    </row>
    <row r="342">
      <c r="A342" s="52" t="n"/>
      <c r="B342" s="49" t="n"/>
      <c r="C342" s="49" t="n"/>
      <c r="D342" s="49" t="n"/>
      <c r="E342" s="51" t="n"/>
      <c r="F342" s="49" t="n"/>
      <c r="G342" s="49" t="n"/>
    </row>
    <row r="343">
      <c r="A343" s="52" t="n"/>
      <c r="B343" s="49" t="n"/>
      <c r="C343" s="49" t="n"/>
      <c r="D343" s="49" t="n"/>
      <c r="E343" s="51" t="n"/>
      <c r="F343" s="49" t="n"/>
      <c r="G343" s="49" t="n"/>
    </row>
    <row r="344">
      <c r="A344" s="52" t="n"/>
      <c r="B344" s="49" t="n"/>
      <c r="C344" s="49" t="n"/>
      <c r="D344" s="49" t="n"/>
      <c r="E344" s="51" t="n"/>
      <c r="F344" s="49" t="n"/>
      <c r="G344" s="49" t="n"/>
    </row>
    <row r="345">
      <c r="A345" s="52" t="n"/>
      <c r="B345" s="49" t="n"/>
      <c r="C345" s="49" t="n"/>
      <c r="D345" s="49" t="n"/>
      <c r="E345" s="51" t="n"/>
      <c r="F345" s="49" t="n"/>
      <c r="G345" s="49" t="n"/>
    </row>
    <row r="346">
      <c r="A346" s="52" t="n"/>
      <c r="B346" s="49" t="n"/>
      <c r="C346" s="49" t="n"/>
      <c r="D346" s="49" t="n"/>
      <c r="E346" s="51" t="n"/>
      <c r="F346" s="49" t="n"/>
      <c r="G346" s="49" t="n"/>
    </row>
    <row r="347">
      <c r="A347" s="52" t="n"/>
      <c r="B347" s="49" t="n"/>
      <c r="C347" s="49" t="n"/>
      <c r="D347" s="49" t="n"/>
      <c r="E347" s="51" t="n"/>
      <c r="F347" s="49" t="n"/>
      <c r="G347" s="49" t="n"/>
    </row>
    <row r="348">
      <c r="A348" s="52" t="n"/>
      <c r="B348" s="49" t="n"/>
      <c r="C348" s="49" t="n"/>
      <c r="D348" s="49" t="n"/>
      <c r="E348" s="51" t="n"/>
      <c r="F348" s="49" t="n"/>
      <c r="G348" s="49" t="n"/>
    </row>
    <row r="349">
      <c r="A349" s="52" t="n"/>
      <c r="B349" s="49" t="n"/>
      <c r="C349" s="49" t="n"/>
      <c r="D349" s="49" t="n"/>
      <c r="E349" s="51" t="n"/>
      <c r="F349" s="49" t="n"/>
      <c r="G349" s="49" t="n"/>
    </row>
    <row r="350">
      <c r="A350" s="52" t="n"/>
      <c r="B350" s="49" t="n"/>
      <c r="C350" s="49" t="n"/>
      <c r="D350" s="49" t="n"/>
      <c r="E350" s="51" t="n"/>
      <c r="F350" s="49" t="n"/>
      <c r="G350" s="49" t="n"/>
    </row>
    <row r="351">
      <c r="A351" s="52" t="n"/>
      <c r="B351" s="49" t="n"/>
      <c r="C351" s="49" t="n"/>
      <c r="D351" s="49" t="n"/>
      <c r="E351" s="51" t="n"/>
      <c r="F351" s="49" t="n"/>
      <c r="G351" s="49" t="n"/>
    </row>
    <row r="352">
      <c r="A352" s="52" t="n"/>
      <c r="B352" s="49" t="n"/>
      <c r="C352" s="49" t="n"/>
      <c r="D352" s="49" t="n"/>
      <c r="E352" s="51" t="n"/>
      <c r="F352" s="49" t="n"/>
      <c r="G352" s="49" t="n"/>
    </row>
    <row r="353">
      <c r="A353" s="52" t="n"/>
      <c r="B353" s="49" t="n"/>
      <c r="C353" s="49" t="n"/>
      <c r="D353" s="49" t="n"/>
      <c r="E353" s="51" t="n"/>
      <c r="F353" s="49" t="n"/>
      <c r="G353" s="49" t="n"/>
    </row>
    <row r="354">
      <c r="A354" s="52" t="n"/>
      <c r="B354" s="49" t="n"/>
      <c r="C354" s="49" t="n"/>
      <c r="D354" s="49" t="n"/>
      <c r="E354" s="51" t="n"/>
      <c r="F354" s="49" t="n"/>
      <c r="G354" s="49" t="n"/>
    </row>
    <row r="355">
      <c r="A355" s="52" t="n"/>
      <c r="B355" s="49" t="n"/>
      <c r="C355" s="49" t="n"/>
      <c r="D355" s="49" t="n"/>
      <c r="E355" s="51" t="n"/>
      <c r="F355" s="49" t="n"/>
      <c r="G355" s="49" t="n"/>
    </row>
    <row r="356">
      <c r="A356" s="52" t="n"/>
      <c r="B356" s="49" t="n"/>
      <c r="C356" s="49" t="n"/>
      <c r="D356" s="49" t="n"/>
      <c r="E356" s="51" t="n"/>
      <c r="F356" s="49" t="n"/>
      <c r="G356" s="49" t="n"/>
    </row>
    <row r="357">
      <c r="A357" s="52" t="n"/>
      <c r="B357" s="49" t="n"/>
      <c r="C357" s="49" t="n"/>
      <c r="D357" s="49" t="n"/>
      <c r="E357" s="51" t="n"/>
      <c r="F357" s="49" t="n"/>
      <c r="G357" s="49" t="n"/>
    </row>
    <row r="358">
      <c r="A358" s="52" t="n"/>
      <c r="B358" s="49" t="n"/>
      <c r="C358" s="49" t="n"/>
      <c r="D358" s="49" t="n"/>
      <c r="E358" s="51" t="n"/>
      <c r="F358" s="49" t="n"/>
      <c r="G358" s="49" t="n"/>
    </row>
    <row r="359">
      <c r="A359" s="52" t="n"/>
      <c r="B359" s="49" t="n"/>
      <c r="C359" s="49" t="n"/>
      <c r="D359" s="49" t="n"/>
      <c r="E359" s="51" t="n"/>
      <c r="F359" s="49" t="n"/>
      <c r="G359" s="49" t="n"/>
    </row>
    <row r="360">
      <c r="A360" s="52" t="n"/>
      <c r="B360" s="49" t="n"/>
      <c r="C360" s="49" t="n"/>
      <c r="D360" s="49" t="n"/>
      <c r="E360" s="51" t="n"/>
      <c r="F360" s="49" t="n"/>
      <c r="G360" s="49" t="n"/>
    </row>
    <row r="361">
      <c r="A361" s="52" t="n"/>
      <c r="B361" s="49" t="n"/>
      <c r="C361" s="49" t="n"/>
      <c r="D361" s="49" t="n"/>
      <c r="E361" s="51" t="n"/>
      <c r="F361" s="49" t="n"/>
      <c r="G361" s="49" t="n"/>
    </row>
    <row r="362">
      <c r="A362" s="52" t="n"/>
      <c r="B362" s="49" t="n"/>
      <c r="C362" s="49" t="n"/>
      <c r="D362" s="49" t="n"/>
      <c r="E362" s="51" t="n"/>
      <c r="F362" s="49" t="n"/>
      <c r="G362" s="49" t="n"/>
    </row>
    <row r="363">
      <c r="A363" s="52" t="n"/>
      <c r="B363" s="49" t="n"/>
      <c r="C363" s="49" t="n"/>
      <c r="D363" s="49" t="n"/>
      <c r="E363" s="51" t="n"/>
      <c r="F363" s="49" t="n"/>
      <c r="G363" s="49" t="n"/>
    </row>
    <row r="364">
      <c r="A364" s="52" t="n"/>
      <c r="B364" s="49" t="n"/>
      <c r="C364" s="49" t="n"/>
      <c r="D364" s="49" t="n"/>
      <c r="E364" s="51" t="n"/>
      <c r="F364" s="49" t="n"/>
      <c r="G364" s="49" t="n"/>
    </row>
    <row r="365">
      <c r="A365" s="52" t="n"/>
      <c r="B365" s="49" t="n"/>
      <c r="C365" s="49" t="n"/>
      <c r="D365" s="49" t="n"/>
      <c r="E365" s="51" t="n"/>
      <c r="F365" s="49" t="n"/>
      <c r="G365" s="49" t="n"/>
    </row>
    <row r="366">
      <c r="A366" s="52" t="n"/>
      <c r="B366" s="49" t="n"/>
      <c r="C366" s="49" t="n"/>
      <c r="D366" s="49" t="n"/>
      <c r="E366" s="51" t="n"/>
      <c r="F366" s="49" t="n"/>
      <c r="G366" s="49" t="n"/>
    </row>
    <row r="367">
      <c r="A367" s="52" t="n"/>
      <c r="B367" s="49" t="n"/>
      <c r="C367" s="49" t="n"/>
      <c r="D367" s="49" t="n"/>
      <c r="E367" s="51" t="n"/>
      <c r="F367" s="49" t="n"/>
      <c r="G367" s="49" t="n"/>
    </row>
    <row r="368">
      <c r="A368" s="52" t="n"/>
      <c r="B368" s="49" t="n"/>
      <c r="C368" s="49" t="n"/>
      <c r="D368" s="49" t="n"/>
      <c r="E368" s="51" t="n"/>
      <c r="F368" s="49" t="n"/>
      <c r="G368" s="49" t="n"/>
    </row>
    <row r="369">
      <c r="A369" s="52" t="n"/>
      <c r="B369" s="49" t="n"/>
      <c r="C369" s="49" t="n"/>
      <c r="D369" s="49" t="n"/>
      <c r="E369" s="51" t="n"/>
      <c r="F369" s="49" t="n"/>
      <c r="G369" s="49" t="n"/>
    </row>
    <row r="370">
      <c r="A370" s="52" t="n"/>
      <c r="B370" s="49" t="n"/>
      <c r="C370" s="49" t="n"/>
      <c r="D370" s="49" t="n"/>
      <c r="E370" s="51" t="n"/>
      <c r="F370" s="49" t="n"/>
      <c r="G370" s="49" t="n"/>
    </row>
    <row r="371">
      <c r="A371" s="52" t="n"/>
      <c r="B371" s="49" t="n"/>
      <c r="C371" s="49" t="n"/>
      <c r="D371" s="49" t="n"/>
      <c r="E371" s="51" t="n"/>
      <c r="F371" s="49" t="n"/>
      <c r="G371" s="49" t="n"/>
    </row>
    <row r="372">
      <c r="A372" s="52" t="n"/>
      <c r="B372" s="49" t="n"/>
      <c r="C372" s="49" t="n"/>
      <c r="D372" s="49" t="n"/>
      <c r="E372" s="51" t="n"/>
      <c r="F372" s="49" t="n"/>
      <c r="G372" s="49" t="n"/>
    </row>
    <row r="373">
      <c r="A373" s="52" t="n"/>
      <c r="B373" s="49" t="n"/>
      <c r="C373" s="49" t="n"/>
      <c r="D373" s="49" t="n"/>
      <c r="E373" s="51" t="n"/>
      <c r="F373" s="49" t="n"/>
      <c r="G373" s="49" t="n"/>
    </row>
    <row r="374">
      <c r="A374" s="52" t="n"/>
      <c r="B374" s="49" t="n"/>
      <c r="C374" s="49" t="n"/>
      <c r="D374" s="49" t="n"/>
      <c r="E374" s="51" t="n"/>
      <c r="F374" s="49" t="n"/>
      <c r="G374" s="49" t="n"/>
    </row>
    <row r="375">
      <c r="A375" s="52" t="n"/>
      <c r="B375" s="49" t="n"/>
      <c r="C375" s="49" t="n"/>
      <c r="D375" s="49" t="n"/>
      <c r="E375" s="51" t="n"/>
      <c r="F375" s="49" t="n"/>
      <c r="G375" s="49" t="n"/>
    </row>
    <row r="376">
      <c r="A376" s="52" t="n"/>
      <c r="B376" s="49" t="n"/>
      <c r="C376" s="49" t="n"/>
      <c r="D376" s="49" t="n"/>
      <c r="E376" s="51" t="n"/>
      <c r="F376" s="49" t="n"/>
      <c r="G376" s="49" t="n"/>
    </row>
    <row r="377">
      <c r="A377" s="52" t="n"/>
      <c r="B377" s="49" t="n"/>
      <c r="C377" s="49" t="n"/>
      <c r="D377" s="49" t="n"/>
      <c r="E377" s="51" t="n"/>
      <c r="F377" s="49" t="n"/>
      <c r="G377" s="49" t="n"/>
    </row>
    <row r="378">
      <c r="A378" s="52" t="n"/>
      <c r="B378" s="49" t="n"/>
      <c r="C378" s="49" t="n"/>
      <c r="D378" s="49" t="n"/>
      <c r="E378" s="51" t="n"/>
      <c r="F378" s="49" t="n"/>
      <c r="G378" s="49" t="n"/>
    </row>
    <row r="379">
      <c r="A379" s="52" t="n"/>
      <c r="B379" s="49" t="n"/>
      <c r="C379" s="49" t="n"/>
      <c r="D379" s="49" t="n"/>
      <c r="E379" s="51" t="n"/>
      <c r="F379" s="49" t="n"/>
      <c r="G379" s="49" t="n"/>
    </row>
    <row r="380">
      <c r="A380" s="52" t="n"/>
      <c r="B380" s="49" t="n"/>
      <c r="C380" s="49" t="n"/>
      <c r="D380" s="49" t="n"/>
      <c r="E380" s="51" t="n"/>
      <c r="F380" s="49" t="n"/>
      <c r="G380" s="49" t="n"/>
    </row>
    <row r="381">
      <c r="A381" s="52" t="n"/>
      <c r="B381" s="49" t="n"/>
      <c r="C381" s="49" t="n"/>
      <c r="D381" s="49" t="n"/>
      <c r="E381" s="51" t="n"/>
      <c r="F381" s="49" t="n"/>
      <c r="G381" s="49" t="n"/>
    </row>
    <row r="382">
      <c r="A382" s="52" t="n"/>
      <c r="B382" s="49" t="n"/>
      <c r="C382" s="49" t="n"/>
      <c r="D382" s="49" t="n"/>
      <c r="E382" s="51" t="n"/>
      <c r="F382" s="49" t="n"/>
      <c r="G382" s="49" t="n"/>
    </row>
    <row r="383">
      <c r="A383" s="52" t="n"/>
      <c r="B383" s="49" t="n"/>
      <c r="C383" s="49" t="n"/>
      <c r="D383" s="49" t="n"/>
      <c r="E383" s="51" t="n"/>
      <c r="F383" s="49" t="n"/>
      <c r="G383" s="49" t="n"/>
    </row>
    <row r="384">
      <c r="A384" s="52" t="n"/>
      <c r="B384" s="49" t="n"/>
      <c r="C384" s="49" t="n"/>
      <c r="D384" s="49" t="n"/>
      <c r="E384" s="51" t="n"/>
      <c r="F384" s="49" t="n"/>
      <c r="G384" s="49" t="n"/>
    </row>
    <row r="385">
      <c r="A385" s="52" t="n"/>
      <c r="B385" s="49" t="n"/>
      <c r="C385" s="49" t="n"/>
      <c r="D385" s="49" t="n"/>
      <c r="E385" s="51" t="n"/>
      <c r="F385" s="49" t="n"/>
      <c r="G385" s="49" t="n"/>
    </row>
    <row r="386">
      <c r="A386" s="52" t="n"/>
      <c r="B386" s="49" t="n"/>
      <c r="C386" s="49" t="n"/>
      <c r="D386" s="49" t="n"/>
      <c r="E386" s="51" t="n"/>
      <c r="F386" s="49" t="n"/>
      <c r="G386" s="49" t="n"/>
    </row>
    <row r="387">
      <c r="A387" s="52" t="n"/>
      <c r="B387" s="49" t="n"/>
      <c r="C387" s="49" t="n"/>
      <c r="D387" s="49" t="n"/>
      <c r="E387" s="51" t="n"/>
      <c r="F387" s="49" t="n"/>
      <c r="G387" s="49" t="n"/>
    </row>
    <row r="388">
      <c r="A388" s="52" t="n"/>
      <c r="B388" s="49" t="n"/>
      <c r="C388" s="49" t="n"/>
      <c r="D388" s="49" t="n"/>
      <c r="E388" s="51" t="n"/>
      <c r="F388" s="49" t="n"/>
      <c r="G388" s="49" t="n"/>
    </row>
    <row r="389">
      <c r="A389" s="52" t="n"/>
      <c r="B389" s="49" t="n"/>
      <c r="C389" s="49" t="n"/>
      <c r="D389" s="49" t="n"/>
      <c r="E389" s="51" t="n"/>
      <c r="F389" s="49" t="n"/>
      <c r="G389" s="49" t="n"/>
    </row>
    <row r="390">
      <c r="A390" s="52" t="n"/>
      <c r="B390" s="49" t="n"/>
      <c r="C390" s="49" t="n"/>
      <c r="D390" s="49" t="n"/>
      <c r="E390" s="51" t="n"/>
      <c r="F390" s="49" t="n"/>
      <c r="G390" s="49" t="n"/>
    </row>
    <row r="391">
      <c r="A391" s="52" t="n"/>
      <c r="B391" s="49" t="n"/>
      <c r="C391" s="49" t="n"/>
      <c r="D391" s="49" t="n"/>
      <c r="E391" s="51" t="n"/>
      <c r="F391" s="49" t="n"/>
      <c r="G391" s="49" t="n"/>
    </row>
    <row r="392">
      <c r="A392" s="52" t="n"/>
      <c r="B392" s="49" t="n"/>
      <c r="C392" s="49" t="n"/>
      <c r="D392" s="49" t="n"/>
      <c r="E392" s="51" t="n"/>
      <c r="F392" s="49" t="n"/>
      <c r="G392" s="49" t="n"/>
    </row>
    <row r="393">
      <c r="A393" s="52" t="n"/>
      <c r="B393" s="49" t="n"/>
      <c r="C393" s="49" t="n"/>
      <c r="D393" s="49" t="n"/>
      <c r="E393" s="51" t="n"/>
      <c r="F393" s="49" t="n"/>
      <c r="G393" s="49" t="n"/>
    </row>
    <row r="394">
      <c r="A394" s="52" t="n"/>
      <c r="B394" s="49" t="n"/>
      <c r="C394" s="49" t="n"/>
      <c r="D394" s="49" t="n"/>
      <c r="E394" s="51" t="n"/>
      <c r="F394" s="49" t="n"/>
      <c r="G394" s="49" t="n"/>
    </row>
    <row r="395">
      <c r="A395" s="52" t="n"/>
      <c r="B395" s="49" t="n"/>
      <c r="C395" s="49" t="n"/>
      <c r="D395" s="49" t="n"/>
      <c r="E395" s="51" t="n"/>
      <c r="F395" s="49" t="n"/>
      <c r="G395" s="49" t="n"/>
    </row>
    <row r="396">
      <c r="A396" s="52" t="n"/>
      <c r="B396" s="49" t="n"/>
      <c r="C396" s="49" t="n"/>
      <c r="D396" s="49" t="n"/>
      <c r="E396" s="51" t="n"/>
      <c r="F396" s="49" t="n"/>
      <c r="G396" s="49" t="n"/>
    </row>
    <row r="397">
      <c r="A397" s="52" t="n"/>
      <c r="B397" s="49" t="n"/>
      <c r="C397" s="49" t="n"/>
      <c r="D397" s="49" t="n"/>
      <c r="E397" s="51" t="n"/>
      <c r="F397" s="49" t="n"/>
      <c r="G397" s="49" t="n"/>
    </row>
    <row r="398">
      <c r="A398" s="52" t="n"/>
      <c r="B398" s="49" t="n"/>
      <c r="C398" s="49" t="n"/>
      <c r="D398" s="49" t="n"/>
      <c r="E398" s="51" t="n"/>
      <c r="F398" s="49" t="n"/>
      <c r="G398" s="49" t="n"/>
    </row>
    <row r="399">
      <c r="A399" s="52" t="n"/>
      <c r="B399" s="49" t="n"/>
      <c r="C399" s="49" t="n"/>
      <c r="D399" s="49" t="n"/>
      <c r="E399" s="51" t="n"/>
      <c r="F399" s="49" t="n"/>
      <c r="G399" s="49" t="n"/>
    </row>
    <row r="400">
      <c r="A400" s="52" t="n"/>
      <c r="B400" s="49" t="n"/>
      <c r="C400" s="49" t="n"/>
      <c r="D400" s="49" t="n"/>
      <c r="E400" s="51" t="n"/>
      <c r="F400" s="49" t="n"/>
      <c r="G400" s="49" t="n"/>
    </row>
    <row r="401">
      <c r="A401" s="52" t="n"/>
      <c r="B401" s="49" t="n"/>
      <c r="C401" s="49" t="n"/>
      <c r="D401" s="49" t="n"/>
      <c r="E401" s="51" t="n"/>
      <c r="F401" s="49" t="n"/>
      <c r="G401" s="49" t="n"/>
    </row>
    <row r="402">
      <c r="A402" s="52" t="n"/>
      <c r="B402" s="49" t="n"/>
      <c r="C402" s="49" t="n"/>
      <c r="D402" s="49" t="n"/>
      <c r="E402" s="51" t="n"/>
      <c r="F402" s="49" t="n"/>
      <c r="G402" s="49" t="n"/>
    </row>
    <row r="403">
      <c r="A403" s="52" t="n"/>
      <c r="B403" s="49" t="n"/>
      <c r="C403" s="49" t="n"/>
      <c r="D403" s="49" t="n"/>
      <c r="E403" s="51" t="n"/>
      <c r="F403" s="49" t="n"/>
      <c r="G403" s="49" t="n"/>
    </row>
    <row r="404">
      <c r="A404" s="52" t="n"/>
      <c r="B404" s="49" t="n"/>
      <c r="C404" s="49" t="n"/>
      <c r="D404" s="49" t="n"/>
      <c r="E404" s="51" t="n"/>
      <c r="F404" s="49" t="n"/>
      <c r="G404" s="49" t="n"/>
    </row>
    <row r="405">
      <c r="A405" s="52" t="n"/>
      <c r="B405" s="49" t="n"/>
      <c r="C405" s="49" t="n"/>
      <c r="D405" s="49" t="n"/>
      <c r="E405" s="51" t="n"/>
      <c r="F405" s="49" t="n"/>
      <c r="G405" s="49" t="n"/>
    </row>
    <row r="406">
      <c r="A406" s="52" t="n"/>
      <c r="B406" s="49" t="n"/>
      <c r="C406" s="49" t="n"/>
      <c r="D406" s="49" t="n"/>
      <c r="E406" s="51" t="n"/>
      <c r="F406" s="49" t="n"/>
      <c r="G406" s="49" t="n"/>
    </row>
    <row r="407">
      <c r="A407" s="52" t="n"/>
      <c r="B407" s="49" t="n"/>
      <c r="C407" s="49" t="n"/>
      <c r="D407" s="49" t="n"/>
      <c r="E407" s="51" t="n"/>
      <c r="F407" s="49" t="n"/>
      <c r="G407" s="49" t="n"/>
    </row>
    <row r="408">
      <c r="A408" s="52" t="n"/>
      <c r="B408" s="49" t="n"/>
      <c r="C408" s="49" t="n"/>
      <c r="D408" s="49" t="n"/>
      <c r="E408" s="51" t="n"/>
      <c r="F408" s="49" t="n"/>
      <c r="G408" s="49" t="n"/>
    </row>
    <row r="409">
      <c r="A409" s="52" t="n"/>
      <c r="B409" s="49" t="n"/>
      <c r="C409" s="49" t="n"/>
      <c r="D409" s="49" t="n"/>
      <c r="E409" s="51" t="n"/>
      <c r="F409" s="49" t="n"/>
      <c r="G409" s="49" t="n"/>
    </row>
    <row r="410">
      <c r="A410" s="52" t="n"/>
      <c r="B410" s="49" t="n"/>
      <c r="C410" s="49" t="n"/>
      <c r="D410" s="49" t="n"/>
      <c r="E410" s="51" t="n"/>
      <c r="F410" s="49" t="n"/>
      <c r="G410" s="49" t="n"/>
    </row>
    <row r="411">
      <c r="A411" s="52" t="n"/>
      <c r="B411" s="49" t="n"/>
      <c r="C411" s="49" t="n"/>
      <c r="D411" s="49" t="n"/>
      <c r="E411" s="51" t="n"/>
      <c r="F411" s="49" t="n"/>
      <c r="G411" s="49" t="n"/>
    </row>
    <row r="412">
      <c r="A412" s="52" t="n"/>
      <c r="B412" s="49" t="n"/>
      <c r="C412" s="49" t="n"/>
      <c r="D412" s="49" t="n"/>
      <c r="E412" s="51" t="n"/>
      <c r="F412" s="49" t="n"/>
      <c r="G412" s="49" t="n"/>
    </row>
    <row r="413">
      <c r="A413" s="52" t="n"/>
      <c r="B413" s="49" t="n"/>
      <c r="C413" s="49" t="n"/>
      <c r="D413" s="49" t="n"/>
      <c r="E413" s="51" t="n"/>
      <c r="F413" s="49" t="n"/>
      <c r="G413" s="49" t="n"/>
    </row>
    <row r="414">
      <c r="A414" s="52" t="n"/>
      <c r="B414" s="49" t="n"/>
      <c r="C414" s="49" t="n"/>
      <c r="D414" s="49" t="n"/>
      <c r="E414" s="51" t="n"/>
      <c r="F414" s="49" t="n"/>
      <c r="G414" s="49" t="n"/>
    </row>
    <row r="415">
      <c r="A415" s="52" t="n"/>
      <c r="B415" s="49" t="n"/>
      <c r="C415" s="49" t="n"/>
      <c r="D415" s="49" t="n"/>
      <c r="E415" s="51" t="n"/>
      <c r="F415" s="49" t="n"/>
      <c r="G415" s="49" t="n"/>
    </row>
    <row r="416">
      <c r="A416" s="52" t="n"/>
      <c r="B416" s="49" t="n"/>
      <c r="C416" s="49" t="n"/>
      <c r="D416" s="49" t="n"/>
      <c r="E416" s="51" t="n"/>
      <c r="F416" s="49" t="n"/>
      <c r="G416" s="49" t="n"/>
    </row>
    <row r="417">
      <c r="A417" s="52" t="n"/>
      <c r="B417" s="49" t="n"/>
      <c r="C417" s="49" t="n"/>
      <c r="D417" s="49" t="n"/>
      <c r="E417" s="51" t="n"/>
      <c r="F417" s="49" t="n"/>
      <c r="G417" s="49" t="n"/>
    </row>
    <row r="418">
      <c r="A418" s="52" t="n"/>
      <c r="B418" s="49" t="n"/>
      <c r="C418" s="49" t="n"/>
      <c r="D418" s="49" t="n"/>
      <c r="E418" s="51" t="n"/>
      <c r="F418" s="49" t="n"/>
      <c r="G418" s="49" t="n"/>
    </row>
    <row r="419">
      <c r="A419" s="52" t="n"/>
      <c r="B419" s="49" t="n"/>
      <c r="C419" s="49" t="n"/>
      <c r="D419" s="49" t="n"/>
      <c r="E419" s="51" t="n"/>
      <c r="F419" s="49" t="n"/>
      <c r="G419" s="49" t="n"/>
    </row>
    <row r="420">
      <c r="A420" s="52" t="n"/>
      <c r="B420" s="49" t="n"/>
      <c r="C420" s="49" t="n"/>
      <c r="D420" s="49" t="n"/>
      <c r="E420" s="51" t="n"/>
      <c r="F420" s="49" t="n"/>
      <c r="G420" s="49" t="n"/>
    </row>
    <row r="421">
      <c r="A421" s="52" t="n"/>
      <c r="B421" s="49" t="n"/>
      <c r="C421" s="49" t="n"/>
      <c r="D421" s="49" t="n"/>
      <c r="E421" s="51" t="n"/>
      <c r="F421" s="49" t="n"/>
      <c r="G421" s="49" t="n"/>
    </row>
    <row r="422">
      <c r="A422" s="52" t="n"/>
      <c r="B422" s="49" t="n"/>
      <c r="C422" s="49" t="n"/>
      <c r="D422" s="49" t="n"/>
      <c r="E422" s="51" t="n"/>
      <c r="F422" s="49" t="n"/>
      <c r="G422" s="49" t="n"/>
    </row>
    <row r="423">
      <c r="A423" s="52" t="n"/>
      <c r="B423" s="49" t="n"/>
      <c r="C423" s="49" t="n"/>
      <c r="D423" s="49" t="n"/>
      <c r="E423" s="51" t="n"/>
      <c r="F423" s="49" t="n"/>
      <c r="G423" s="49" t="n"/>
    </row>
    <row r="424">
      <c r="A424" s="52" t="n"/>
      <c r="B424" s="49" t="n"/>
      <c r="C424" s="49" t="n"/>
      <c r="D424" s="49" t="n"/>
      <c r="E424" s="51" t="n"/>
      <c r="F424" s="49" t="n"/>
      <c r="G424" s="49" t="n"/>
    </row>
    <row r="425">
      <c r="A425" s="52" t="n"/>
      <c r="B425" s="49" t="n"/>
      <c r="C425" s="49" t="n"/>
      <c r="D425" s="49" t="n"/>
      <c r="E425" s="51" t="n"/>
      <c r="F425" s="49" t="n"/>
      <c r="G425" s="49" t="n"/>
    </row>
    <row r="426">
      <c r="A426" s="52" t="n"/>
      <c r="B426" s="49" t="n"/>
      <c r="C426" s="49" t="n"/>
      <c r="D426" s="49" t="n"/>
      <c r="E426" s="51" t="n"/>
      <c r="F426" s="49" t="n"/>
      <c r="G426" s="49" t="n"/>
    </row>
    <row r="427">
      <c r="A427" s="52" t="n"/>
      <c r="B427" s="49" t="n"/>
      <c r="C427" s="49" t="n"/>
      <c r="D427" s="49" t="n"/>
      <c r="E427" s="51" t="n"/>
      <c r="F427" s="49" t="n"/>
      <c r="G427" s="49" t="n"/>
    </row>
    <row r="428">
      <c r="A428" s="52" t="n"/>
      <c r="B428" s="49" t="n"/>
      <c r="C428" s="49" t="n"/>
      <c r="D428" s="49" t="n"/>
      <c r="E428" s="51" t="n"/>
      <c r="F428" s="49" t="n"/>
      <c r="G428" s="49" t="n"/>
    </row>
    <row r="429">
      <c r="A429" s="52" t="n"/>
      <c r="B429" s="49" t="n"/>
      <c r="C429" s="49" t="n"/>
      <c r="D429" s="49" t="n"/>
      <c r="E429" s="51" t="n"/>
      <c r="F429" s="49" t="n"/>
      <c r="G429" s="49" t="n"/>
    </row>
    <row r="430">
      <c r="A430" s="52" t="n"/>
      <c r="B430" s="49" t="n"/>
      <c r="C430" s="49" t="n"/>
      <c r="D430" s="49" t="n"/>
      <c r="E430" s="51" t="n"/>
      <c r="F430" s="49" t="n"/>
      <c r="G430" s="49" t="n"/>
    </row>
    <row r="431">
      <c r="A431" s="52" t="n"/>
      <c r="B431" s="49" t="n"/>
      <c r="C431" s="49" t="n"/>
      <c r="D431" s="49" t="n"/>
      <c r="E431" s="51" t="n"/>
      <c r="F431" s="49" t="n"/>
      <c r="G431" s="49" t="n"/>
    </row>
    <row r="432">
      <c r="A432" s="52" t="n"/>
      <c r="B432" s="49" t="n"/>
      <c r="C432" s="49" t="n"/>
      <c r="D432" s="49" t="n"/>
      <c r="E432" s="51" t="n"/>
      <c r="F432" s="49" t="n"/>
      <c r="G432" s="49" t="n"/>
    </row>
    <row r="433">
      <c r="A433" s="52" t="n"/>
      <c r="B433" s="49" t="n"/>
      <c r="C433" s="49" t="n"/>
      <c r="D433" s="49" t="n"/>
      <c r="E433" s="51" t="n"/>
      <c r="F433" s="49" t="n"/>
      <c r="G433" s="49" t="n"/>
    </row>
    <row r="434">
      <c r="A434" s="52" t="n"/>
      <c r="B434" s="49" t="n"/>
      <c r="C434" s="49" t="n"/>
      <c r="D434" s="49" t="n"/>
      <c r="E434" s="51" t="n"/>
      <c r="F434" s="49" t="n"/>
      <c r="G434" s="49" t="n"/>
    </row>
    <row r="435">
      <c r="A435" s="52" t="n"/>
      <c r="B435" s="49" t="n"/>
      <c r="C435" s="49" t="n"/>
      <c r="D435" s="49" t="n"/>
      <c r="E435" s="51" t="n"/>
      <c r="F435" s="49" t="n"/>
      <c r="G435" s="49" t="n"/>
    </row>
    <row r="436">
      <c r="A436" s="52" t="n"/>
      <c r="B436" s="49" t="n"/>
      <c r="C436" s="49" t="n"/>
      <c r="D436" s="49" t="n"/>
      <c r="E436" s="51" t="n"/>
      <c r="F436" s="49" t="n"/>
      <c r="G436" s="49" t="n"/>
    </row>
    <row r="437">
      <c r="A437" s="52" t="n"/>
      <c r="B437" s="49" t="n"/>
      <c r="C437" s="49" t="n"/>
      <c r="D437" s="49" t="n"/>
      <c r="E437" s="51" t="n"/>
      <c r="F437" s="49" t="n"/>
      <c r="G437" s="49" t="n"/>
    </row>
    <row r="438">
      <c r="A438" s="52" t="n"/>
      <c r="B438" s="49" t="n"/>
      <c r="C438" s="49" t="n"/>
      <c r="D438" s="49" t="n"/>
      <c r="E438" s="51" t="n"/>
      <c r="F438" s="49" t="n"/>
      <c r="G438" s="49" t="n"/>
    </row>
    <row r="439">
      <c r="A439" s="52" t="n"/>
      <c r="B439" s="49" t="n"/>
      <c r="C439" s="49" t="n"/>
      <c r="D439" s="49" t="n"/>
      <c r="E439" s="51" t="n"/>
      <c r="F439" s="49" t="n"/>
      <c r="G439" s="49" t="n"/>
    </row>
    <row r="440">
      <c r="A440" s="52" t="n"/>
      <c r="B440" s="49" t="n"/>
      <c r="C440" s="49" t="n"/>
      <c r="D440" s="49" t="n"/>
      <c r="E440" s="51" t="n"/>
      <c r="F440" s="49" t="n"/>
      <c r="G440" s="49" t="n"/>
    </row>
    <row r="441">
      <c r="A441" s="52" t="n"/>
      <c r="B441" s="49" t="n"/>
      <c r="C441" s="49" t="n"/>
      <c r="D441" s="49" t="n"/>
      <c r="E441" s="51" t="n"/>
      <c r="F441" s="49" t="n"/>
      <c r="G441" s="49" t="n"/>
    </row>
    <row r="442">
      <c r="A442" s="52" t="n"/>
      <c r="B442" s="49" t="n"/>
      <c r="C442" s="49" t="n"/>
      <c r="D442" s="49" t="n"/>
      <c r="E442" s="51" t="n"/>
      <c r="F442" s="49" t="n"/>
      <c r="G442" s="49" t="n"/>
    </row>
    <row r="443">
      <c r="A443" s="52" t="n"/>
      <c r="B443" s="49" t="n"/>
      <c r="C443" s="49" t="n"/>
      <c r="D443" s="49" t="n"/>
      <c r="E443" s="51" t="n"/>
      <c r="F443" s="49" t="n"/>
      <c r="G443" s="49" t="n"/>
    </row>
    <row r="444">
      <c r="A444" s="52" t="n"/>
      <c r="B444" s="49" t="n"/>
      <c r="C444" s="49" t="n"/>
      <c r="D444" s="49" t="n"/>
      <c r="E444" s="51" t="n"/>
      <c r="F444" s="49" t="n"/>
      <c r="G444" s="49" t="n"/>
    </row>
    <row r="445">
      <c r="A445" s="52" t="n"/>
      <c r="B445" s="49" t="n"/>
      <c r="C445" s="49" t="n"/>
      <c r="D445" s="49" t="n"/>
      <c r="E445" s="51" t="n"/>
      <c r="F445" s="49" t="n"/>
      <c r="G445" s="49" t="n"/>
    </row>
    <row r="446">
      <c r="A446" s="52" t="n"/>
      <c r="B446" s="49" t="n"/>
      <c r="C446" s="49" t="n"/>
      <c r="D446" s="49" t="n"/>
      <c r="E446" s="51" t="n"/>
      <c r="F446" s="49" t="n"/>
      <c r="G446" s="49" t="n"/>
    </row>
    <row r="447">
      <c r="A447" s="52" t="n"/>
      <c r="B447" s="49" t="n"/>
      <c r="C447" s="49" t="n"/>
      <c r="D447" s="49" t="n"/>
      <c r="E447" s="51" t="n"/>
      <c r="F447" s="49" t="n"/>
      <c r="G447" s="49" t="n"/>
    </row>
    <row r="448">
      <c r="A448" s="52" t="n"/>
      <c r="B448" s="49" t="n"/>
      <c r="C448" s="49" t="n"/>
      <c r="D448" s="49" t="n"/>
      <c r="E448" s="51" t="n"/>
      <c r="F448" s="49" t="n"/>
      <c r="G448" s="49" t="n"/>
    </row>
    <row r="449">
      <c r="A449" s="52" t="n"/>
      <c r="B449" s="49" t="n"/>
      <c r="C449" s="49" t="n"/>
      <c r="D449" s="49" t="n"/>
      <c r="E449" s="51" t="n"/>
      <c r="F449" s="49" t="n"/>
      <c r="G449" s="49" t="n"/>
    </row>
    <row r="450">
      <c r="A450" s="52" t="n"/>
      <c r="B450" s="49" t="n"/>
      <c r="C450" s="49" t="n"/>
      <c r="D450" s="49" t="n"/>
      <c r="E450" s="51" t="n"/>
      <c r="F450" s="49" t="n"/>
      <c r="G450" s="49" t="n"/>
    </row>
    <row r="451">
      <c r="A451" s="52" t="n"/>
      <c r="B451" s="49" t="n"/>
      <c r="C451" s="49" t="n"/>
      <c r="D451" s="49" t="n"/>
      <c r="E451" s="51" t="n"/>
      <c r="F451" s="49" t="n"/>
      <c r="G451" s="49" t="n"/>
    </row>
    <row r="452">
      <c r="A452" s="52" t="n"/>
      <c r="B452" s="49" t="n"/>
      <c r="C452" s="49" t="n"/>
      <c r="D452" s="49" t="n"/>
      <c r="E452" s="51" t="n"/>
      <c r="F452" s="49" t="n"/>
      <c r="G452" s="49" t="n"/>
    </row>
    <row r="453">
      <c r="A453" s="52" t="n"/>
      <c r="B453" s="49" t="n"/>
      <c r="C453" s="49" t="n"/>
      <c r="D453" s="49" t="n"/>
      <c r="E453" s="51" t="n"/>
      <c r="F453" s="49" t="n"/>
      <c r="G453" s="49" t="n"/>
    </row>
    <row r="454">
      <c r="A454" s="52" t="n"/>
      <c r="B454" s="49" t="n"/>
      <c r="C454" s="49" t="n"/>
      <c r="D454" s="49" t="n"/>
      <c r="E454" s="51" t="n"/>
      <c r="F454" s="49" t="n"/>
      <c r="G454" s="49" t="n"/>
    </row>
    <row r="455">
      <c r="A455" s="52" t="n"/>
      <c r="B455" s="49" t="n"/>
      <c r="C455" s="49" t="n"/>
      <c r="D455" s="49" t="n"/>
      <c r="E455" s="51" t="n"/>
      <c r="F455" s="49" t="n"/>
      <c r="G455" s="49" t="n"/>
    </row>
    <row r="456">
      <c r="A456" s="52" t="n"/>
      <c r="B456" s="49" t="n"/>
      <c r="C456" s="49" t="n"/>
      <c r="D456" s="49" t="n"/>
      <c r="E456" s="51" t="n"/>
      <c r="F456" s="49" t="n"/>
      <c r="G456" s="49" t="n"/>
    </row>
    <row r="457">
      <c r="A457" s="52" t="n"/>
      <c r="B457" s="49" t="n"/>
      <c r="C457" s="49" t="n"/>
      <c r="D457" s="49" t="n"/>
      <c r="E457" s="51" t="n"/>
      <c r="F457" s="49" t="n"/>
      <c r="G457" s="49" t="n"/>
    </row>
    <row r="458">
      <c r="A458" s="52" t="n"/>
      <c r="B458" s="49" t="n"/>
      <c r="C458" s="49" t="n"/>
      <c r="D458" s="49" t="n"/>
      <c r="E458" s="51" t="n"/>
      <c r="F458" s="49" t="n"/>
      <c r="G458" s="49" t="n"/>
    </row>
    <row r="459">
      <c r="A459" s="52" t="n"/>
      <c r="B459" s="49" t="n"/>
      <c r="C459" s="49" t="n"/>
      <c r="D459" s="49" t="n"/>
      <c r="E459" s="51" t="n"/>
      <c r="F459" s="49" t="n"/>
      <c r="G459" s="49" t="n"/>
    </row>
    <row r="460">
      <c r="A460" s="52" t="n"/>
      <c r="B460" s="49" t="n"/>
      <c r="C460" s="49" t="n"/>
      <c r="D460" s="49" t="n"/>
      <c r="E460" s="51" t="n"/>
      <c r="F460" s="49" t="n"/>
      <c r="G460" s="49" t="n"/>
    </row>
    <row r="461">
      <c r="A461" s="52" t="n"/>
      <c r="B461" s="49" t="n"/>
      <c r="C461" s="49" t="n"/>
      <c r="D461" s="49" t="n"/>
      <c r="E461" s="51" t="n"/>
      <c r="F461" s="49" t="n"/>
      <c r="G461" s="49" t="n"/>
    </row>
    <row r="462">
      <c r="A462" s="52" t="n"/>
      <c r="B462" s="49" t="n"/>
      <c r="C462" s="49" t="n"/>
      <c r="D462" s="49" t="n"/>
      <c r="E462" s="51" t="n"/>
      <c r="F462" s="49" t="n"/>
      <c r="G462" s="49" t="n"/>
    </row>
    <row r="463">
      <c r="A463" s="52" t="n"/>
      <c r="B463" s="49" t="n"/>
      <c r="C463" s="49" t="n"/>
      <c r="D463" s="49" t="n"/>
      <c r="E463" s="51" t="n"/>
      <c r="F463" s="49" t="n"/>
      <c r="G463" s="49" t="n"/>
    </row>
    <row r="464">
      <c r="A464" s="52" t="n"/>
      <c r="B464" s="49" t="n"/>
      <c r="C464" s="49" t="n"/>
      <c r="D464" s="49" t="n"/>
      <c r="E464" s="51" t="n"/>
      <c r="F464" s="49" t="n"/>
      <c r="G464" s="49" t="n"/>
    </row>
    <row r="465">
      <c r="A465" s="52" t="n"/>
      <c r="B465" s="49" t="n"/>
      <c r="C465" s="49" t="n"/>
      <c r="D465" s="49" t="n"/>
      <c r="E465" s="51" t="n"/>
      <c r="F465" s="49" t="n"/>
      <c r="G465" s="49" t="n"/>
    </row>
    <row r="466">
      <c r="A466" s="52" t="n"/>
      <c r="B466" s="49" t="n"/>
      <c r="C466" s="49" t="n"/>
      <c r="D466" s="49" t="n"/>
      <c r="E466" s="51" t="n"/>
      <c r="F466" s="49" t="n"/>
      <c r="G466" s="49" t="n"/>
    </row>
    <row r="467">
      <c r="A467" s="52" t="n"/>
      <c r="B467" s="49" t="n"/>
      <c r="C467" s="49" t="n"/>
      <c r="D467" s="49" t="n"/>
      <c r="E467" s="51" t="n"/>
      <c r="F467" s="49" t="n"/>
      <c r="G467" s="49" t="n"/>
    </row>
    <row r="468">
      <c r="A468" s="52" t="n"/>
      <c r="B468" s="49" t="n"/>
      <c r="C468" s="49" t="n"/>
      <c r="D468" s="49" t="n"/>
      <c r="E468" s="51" t="n"/>
      <c r="F468" s="49" t="n"/>
      <c r="G468" s="49" t="n"/>
    </row>
    <row r="469">
      <c r="A469" s="52" t="n"/>
      <c r="B469" s="49" t="n"/>
      <c r="C469" s="49" t="n"/>
      <c r="D469" s="49" t="n"/>
      <c r="E469" s="51" t="n"/>
      <c r="F469" s="49" t="n"/>
      <c r="G469" s="49" t="n"/>
    </row>
    <row r="470">
      <c r="A470" s="52" t="n"/>
      <c r="B470" s="49" t="n"/>
      <c r="C470" s="49" t="n"/>
      <c r="D470" s="49" t="n"/>
      <c r="E470" s="51" t="n"/>
      <c r="F470" s="49" t="n"/>
      <c r="G470" s="49" t="n"/>
    </row>
    <row r="471">
      <c r="A471" s="52" t="n"/>
      <c r="B471" s="49" t="n"/>
      <c r="C471" s="49" t="n"/>
      <c r="D471" s="49" t="n"/>
      <c r="E471" s="51" t="n"/>
      <c r="F471" s="49" t="n"/>
      <c r="G471" s="49" t="n"/>
    </row>
    <row r="472">
      <c r="A472" s="52" t="n"/>
      <c r="B472" s="49" t="n"/>
      <c r="C472" s="49" t="n"/>
      <c r="D472" s="49" t="n"/>
      <c r="E472" s="51" t="n"/>
      <c r="F472" s="49" t="n"/>
      <c r="G472" s="49" t="n"/>
    </row>
    <row r="473">
      <c r="A473" s="52" t="n"/>
      <c r="B473" s="49" t="n"/>
      <c r="C473" s="49" t="n"/>
      <c r="D473" s="49" t="n"/>
      <c r="E473" s="51" t="n"/>
      <c r="F473" s="49" t="n"/>
      <c r="G473" s="49" t="n"/>
    </row>
    <row r="474">
      <c r="A474" s="52" t="n"/>
      <c r="B474" s="49" t="n"/>
      <c r="C474" s="49" t="n"/>
      <c r="D474" s="49" t="n"/>
      <c r="E474" s="51" t="n"/>
      <c r="F474" s="49" t="n"/>
      <c r="G474" s="49" t="n"/>
    </row>
    <row r="475">
      <c r="A475" s="52" t="n"/>
      <c r="B475" s="49" t="n"/>
      <c r="C475" s="49" t="n"/>
      <c r="D475" s="49" t="n"/>
      <c r="E475" s="51" t="n"/>
      <c r="F475" s="49" t="n"/>
      <c r="G475" s="49" t="n"/>
    </row>
    <row r="476">
      <c r="A476" s="52" t="n"/>
      <c r="B476" s="49" t="n"/>
      <c r="C476" s="49" t="n"/>
      <c r="D476" s="49" t="n"/>
      <c r="E476" s="51" t="n"/>
      <c r="F476" s="49" t="n"/>
      <c r="G476" s="49" t="n"/>
    </row>
    <row r="477">
      <c r="A477" s="52" t="n"/>
      <c r="B477" s="49" t="n"/>
      <c r="C477" s="49" t="n"/>
      <c r="D477" s="49" t="n"/>
      <c r="E477" s="51" t="n"/>
      <c r="F477" s="49" t="n"/>
      <c r="G477" s="49" t="n"/>
    </row>
    <row r="478">
      <c r="A478" s="52" t="n"/>
      <c r="B478" s="49" t="n"/>
      <c r="C478" s="49" t="n"/>
      <c r="D478" s="49" t="n"/>
      <c r="E478" s="51" t="n"/>
      <c r="F478" s="49" t="n"/>
      <c r="G478" s="49" t="n"/>
    </row>
    <row r="479">
      <c r="A479" s="52" t="n"/>
      <c r="B479" s="49" t="n"/>
      <c r="C479" s="49" t="n"/>
      <c r="D479" s="49" t="n"/>
      <c r="E479" s="51" t="n"/>
      <c r="F479" s="49" t="n"/>
      <c r="G479" s="49" t="n"/>
    </row>
    <row r="480">
      <c r="A480" s="52" t="n"/>
      <c r="B480" s="49" t="n"/>
      <c r="C480" s="49" t="n"/>
      <c r="D480" s="49" t="n"/>
      <c r="E480" s="51" t="n"/>
      <c r="F480" s="49" t="n"/>
      <c r="G480" s="49" t="n"/>
    </row>
    <row r="481">
      <c r="A481" s="52" t="n"/>
      <c r="B481" s="49" t="n"/>
      <c r="C481" s="49" t="n"/>
      <c r="D481" s="49" t="n"/>
      <c r="E481" s="51" t="n"/>
      <c r="F481" s="49" t="n"/>
      <c r="G481" s="49" t="n"/>
    </row>
    <row r="482">
      <c r="A482" s="52" t="n"/>
      <c r="B482" s="49" t="n"/>
      <c r="C482" s="49" t="n"/>
      <c r="D482" s="49" t="n"/>
      <c r="E482" s="51" t="n"/>
      <c r="F482" s="49" t="n"/>
      <c r="G482" s="49" t="n"/>
    </row>
    <row r="483">
      <c r="A483" s="52" t="n"/>
      <c r="B483" s="49" t="n"/>
      <c r="C483" s="49" t="n"/>
      <c r="D483" s="49" t="n"/>
      <c r="E483" s="51" t="n"/>
      <c r="F483" s="49" t="n"/>
      <c r="G483" s="49" t="n"/>
    </row>
    <row r="484">
      <c r="A484" s="52" t="n"/>
      <c r="B484" s="49" t="n"/>
      <c r="C484" s="49" t="n"/>
      <c r="D484" s="49" t="n"/>
      <c r="E484" s="51" t="n"/>
      <c r="F484" s="49" t="n"/>
      <c r="G484" s="49" t="n"/>
    </row>
    <row r="485">
      <c r="A485" s="52" t="n"/>
      <c r="B485" s="49" t="n"/>
      <c r="C485" s="49" t="n"/>
      <c r="D485" s="49" t="n"/>
      <c r="E485" s="51" t="n"/>
      <c r="F485" s="49" t="n"/>
      <c r="G485" s="49" t="n"/>
    </row>
    <row r="486">
      <c r="A486" s="52" t="n"/>
      <c r="B486" s="49" t="n"/>
      <c r="C486" s="49" t="n"/>
      <c r="D486" s="49" t="n"/>
      <c r="E486" s="51" t="n"/>
      <c r="F486" s="49" t="n"/>
      <c r="G486" s="49" t="n"/>
    </row>
    <row r="487">
      <c r="A487" s="52" t="n"/>
      <c r="B487" s="49" t="n"/>
      <c r="C487" s="49" t="n"/>
      <c r="D487" s="49" t="n"/>
      <c r="E487" s="51" t="n"/>
      <c r="F487" s="49" t="n"/>
      <c r="G487" s="49" t="n"/>
    </row>
    <row r="488">
      <c r="A488" s="52" t="n"/>
      <c r="B488" s="49" t="n"/>
      <c r="C488" s="49" t="n"/>
      <c r="D488" s="49" t="n"/>
      <c r="E488" s="51" t="n"/>
      <c r="F488" s="49" t="n"/>
      <c r="G488" s="49" t="n"/>
    </row>
    <row r="489">
      <c r="A489" s="52" t="n"/>
      <c r="B489" s="49" t="n"/>
      <c r="C489" s="49" t="n"/>
      <c r="D489" s="49" t="n"/>
      <c r="E489" s="51" t="n"/>
      <c r="F489" s="49" t="n"/>
      <c r="G489" s="49" t="n"/>
    </row>
    <row r="490">
      <c r="A490" s="52" t="n"/>
      <c r="B490" s="49" t="n"/>
      <c r="C490" s="49" t="n"/>
      <c r="D490" s="49" t="n"/>
      <c r="E490" s="51" t="n"/>
      <c r="F490" s="49" t="n"/>
      <c r="G490" s="49" t="n"/>
    </row>
    <row r="491">
      <c r="A491" s="52" t="n"/>
      <c r="B491" s="49" t="n"/>
      <c r="C491" s="49" t="n"/>
      <c r="D491" s="49" t="n"/>
      <c r="E491" s="51" t="n"/>
      <c r="F491" s="49" t="n"/>
      <c r="G491" s="49" t="n"/>
    </row>
    <row r="492">
      <c r="A492" s="52" t="n"/>
      <c r="B492" s="49" t="n"/>
      <c r="C492" s="49" t="n"/>
      <c r="D492" s="49" t="n"/>
      <c r="E492" s="51" t="n"/>
      <c r="F492" s="49" t="n"/>
      <c r="G492" s="49" t="n"/>
    </row>
    <row r="493">
      <c r="A493" s="52" t="n"/>
      <c r="B493" s="49" t="n"/>
      <c r="C493" s="49" t="n"/>
      <c r="D493" s="49" t="n"/>
      <c r="E493" s="51" t="n"/>
      <c r="F493" s="49" t="n"/>
      <c r="G493" s="49" t="n"/>
    </row>
    <row r="494">
      <c r="A494" s="52" t="n"/>
      <c r="B494" s="49" t="n"/>
      <c r="C494" s="49" t="n"/>
      <c r="D494" s="49" t="n"/>
      <c r="E494" s="51" t="n"/>
      <c r="F494" s="49" t="n"/>
      <c r="G494" s="49" t="n"/>
    </row>
    <row r="495">
      <c r="A495" s="52" t="n"/>
      <c r="B495" s="49" t="n"/>
      <c r="C495" s="49" t="n"/>
      <c r="D495" s="49" t="n"/>
      <c r="E495" s="51" t="n"/>
      <c r="F495" s="49" t="n"/>
      <c r="G495" s="49" t="n"/>
    </row>
    <row r="496">
      <c r="A496" s="52" t="n"/>
      <c r="B496" s="49" t="n"/>
      <c r="C496" s="49" t="n"/>
      <c r="D496" s="49" t="n"/>
      <c r="E496" s="51" t="n"/>
      <c r="F496" s="49" t="n"/>
      <c r="G496" s="49" t="n"/>
    </row>
    <row r="497">
      <c r="A497" s="52" t="n"/>
      <c r="B497" s="49" t="n"/>
      <c r="C497" s="49" t="n"/>
      <c r="D497" s="49" t="n"/>
      <c r="E497" s="51" t="n"/>
      <c r="F497" s="49" t="n"/>
      <c r="G497" s="49" t="n"/>
    </row>
    <row r="498">
      <c r="A498" s="52" t="n"/>
      <c r="B498" s="49" t="n"/>
      <c r="C498" s="49" t="n"/>
      <c r="D498" s="49" t="n"/>
      <c r="E498" s="51" t="n"/>
      <c r="F498" s="49" t="n"/>
      <c r="G498" s="49" t="n"/>
    </row>
    <row r="499">
      <c r="A499" s="52" t="n"/>
      <c r="B499" s="49" t="n"/>
      <c r="C499" s="49" t="n"/>
      <c r="D499" s="49" t="n"/>
      <c r="E499" s="51" t="n"/>
      <c r="F499" s="49" t="n"/>
      <c r="G499" s="49" t="n"/>
    </row>
    <row r="500">
      <c r="A500" s="52" t="n"/>
      <c r="B500" s="49" t="n"/>
      <c r="C500" s="49" t="n"/>
      <c r="D500" s="49" t="n"/>
      <c r="E500" s="51" t="n"/>
      <c r="F500" s="49" t="n"/>
      <c r="G500" s="49" t="n"/>
    </row>
    <row r="501">
      <c r="A501" s="52" t="n"/>
      <c r="B501" s="49" t="n"/>
      <c r="C501" s="49" t="n"/>
      <c r="D501" s="49" t="n"/>
      <c r="E501" s="51" t="n"/>
      <c r="F501" s="49" t="n"/>
      <c r="G501" s="49" t="n"/>
    </row>
  </sheetData>
  <dataValidations count="2">
    <dataValidation sqref="B2:B501" showDropDown="0" showInputMessage="0" showErrorMessage="0" allowBlank="1" type="list">
      <formula1>"Transport,Packaging,Airtime/Data,Rent/Market Stall,Food/Meals,Delivery,Bank Charges,Other"</formula1>
    </dataValidation>
    <dataValidation sqref="F2:F501" showDropDown="0" showInputMessage="0" showErrorMessage="0" allowBlank="1" type="list">
      <formula1>"Cash,EcoCash,Bank Transfer,Card,Other"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9" customWidth="1" min="4" max="4"/>
    <col width="36" customWidth="1" min="5" max="5"/>
    <col width="8" customWidth="1" min="6" max="6"/>
    <col width="14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  <col width="24" customWidth="1" min="13" max="13"/>
  </cols>
  <sheetData>
    <row r="1" ht="30" customHeight="1">
      <c r="A1" s="50" t="inlineStr">
        <is>
          <t>Date sold</t>
        </is>
      </c>
      <c r="B1" s="50" t="inlineStr">
        <is>
          <t>Customer name</t>
        </is>
      </c>
      <c r="C1" s="50" t="inlineStr">
        <is>
          <t>Phone</t>
        </is>
      </c>
      <c r="D1" s="50" t="inlineStr">
        <is>
          <t>Item No.</t>
        </is>
      </c>
      <c r="E1" s="50" t="inlineStr">
        <is>
          <t>Product name</t>
        </is>
      </c>
      <c r="F1" s="50" t="inlineStr">
        <is>
          <t>Qty</t>
        </is>
      </c>
      <c r="G1" s="50" t="inlineStr">
        <is>
          <t>Amount owed RMB</t>
        </is>
      </c>
      <c r="H1" s="50" t="inlineStr">
        <is>
          <t>Amount paid RMB</t>
        </is>
      </c>
      <c r="I1" s="50" t="inlineStr">
        <is>
          <t>Payment date</t>
        </is>
      </c>
      <c r="J1" s="50" t="inlineStr">
        <is>
          <t>Balance RMB</t>
        </is>
      </c>
      <c r="K1" s="50" t="inlineStr">
        <is>
          <t>Due date</t>
        </is>
      </c>
      <c r="L1" s="50" t="inlineStr">
        <is>
          <t>Status</t>
        </is>
      </c>
      <c r="M1" s="50" t="inlineStr">
        <is>
          <t>Notes</t>
        </is>
      </c>
    </row>
    <row r="2">
      <c r="A2" s="52" t="n"/>
      <c r="B2" s="49" t="n"/>
      <c r="C2" s="49" t="n"/>
      <c r="D2" s="49" t="n"/>
      <c r="E2" s="49">
        <f>IFERROR(VLOOKUP(D2,'Stock Master'!$A$2:$L$49,2,FALSE),"")</f>
        <v/>
      </c>
      <c r="F2" s="49" t="n"/>
      <c r="G2" s="51">
        <f>IFERROR(VLOOKUP(D2,'Stock Master'!$A$2:$L$49,5,FALSE)*F2,0)</f>
        <v/>
      </c>
      <c r="H2" s="51" t="n"/>
      <c r="I2" s="52" t="n"/>
      <c r="J2" s="51">
        <f>IFERROR(G2-H2,0)</f>
        <v/>
      </c>
      <c r="K2" s="52" t="n"/>
      <c r="L2" s="49">
        <f>IF(A2="","",IF(J2&lt;=0,"Paid",IF(AND(K2&lt;TODAY(),K2&lt;&gt;""),"Overdue","Open")))</f>
        <v/>
      </c>
      <c r="M2" s="49" t="n"/>
    </row>
    <row r="3">
      <c r="A3" s="52" t="n"/>
      <c r="B3" s="49" t="n"/>
      <c r="C3" s="49" t="n"/>
      <c r="D3" s="49" t="n"/>
      <c r="E3" s="49">
        <f>IFERROR(VLOOKUP(D3,'Stock Master'!$A$2:$L$49,2,FALSE),"")</f>
        <v/>
      </c>
      <c r="F3" s="49" t="n"/>
      <c r="G3" s="51">
        <f>IFERROR(VLOOKUP(D3,'Stock Master'!$A$2:$L$49,5,FALSE)*F3,0)</f>
        <v/>
      </c>
      <c r="H3" s="51" t="n"/>
      <c r="I3" s="52" t="n"/>
      <c r="J3" s="51">
        <f>IFERROR(G3-H3,0)</f>
        <v/>
      </c>
      <c r="K3" s="52" t="n"/>
      <c r="L3" s="49">
        <f>IF(A3="","",IF(J3&lt;=0,"Paid",IF(AND(K3&lt;TODAY(),K3&lt;&gt;""),"Overdue","Open")))</f>
        <v/>
      </c>
      <c r="M3" s="49" t="n"/>
    </row>
    <row r="4">
      <c r="A4" s="52" t="n"/>
      <c r="B4" s="49" t="n"/>
      <c r="C4" s="49" t="n"/>
      <c r="D4" s="49" t="n"/>
      <c r="E4" s="49">
        <f>IFERROR(VLOOKUP(D4,'Stock Master'!$A$2:$L$49,2,FALSE),"")</f>
        <v/>
      </c>
      <c r="F4" s="49" t="n"/>
      <c r="G4" s="51">
        <f>IFERROR(VLOOKUP(D4,'Stock Master'!$A$2:$L$49,5,FALSE)*F4,0)</f>
        <v/>
      </c>
      <c r="H4" s="51" t="n"/>
      <c r="I4" s="52" t="n"/>
      <c r="J4" s="51">
        <f>IFERROR(G4-H4,0)</f>
        <v/>
      </c>
      <c r="K4" s="52" t="n"/>
      <c r="L4" s="49">
        <f>IF(A4="","",IF(J4&lt;=0,"Paid",IF(AND(K4&lt;TODAY(),K4&lt;&gt;""),"Overdue","Open")))</f>
        <v/>
      </c>
      <c r="M4" s="49" t="n"/>
    </row>
    <row r="5">
      <c r="A5" s="52" t="n"/>
      <c r="B5" s="49" t="n"/>
      <c r="C5" s="49" t="n"/>
      <c r="D5" s="49" t="n"/>
      <c r="E5" s="49">
        <f>IFERROR(VLOOKUP(D5,'Stock Master'!$A$2:$L$49,2,FALSE),"")</f>
        <v/>
      </c>
      <c r="F5" s="49" t="n"/>
      <c r="G5" s="51">
        <f>IFERROR(VLOOKUP(D5,'Stock Master'!$A$2:$L$49,5,FALSE)*F5,0)</f>
        <v/>
      </c>
      <c r="H5" s="51" t="n"/>
      <c r="I5" s="52" t="n"/>
      <c r="J5" s="51">
        <f>IFERROR(G5-H5,0)</f>
        <v/>
      </c>
      <c r="K5" s="52" t="n"/>
      <c r="L5" s="49">
        <f>IF(A5="","",IF(J5&lt;=0,"Paid",IF(AND(K5&lt;TODAY(),K5&lt;&gt;""),"Overdue","Open")))</f>
        <v/>
      </c>
      <c r="M5" s="49" t="n"/>
    </row>
    <row r="6">
      <c r="A6" s="52" t="n"/>
      <c r="B6" s="49" t="n"/>
      <c r="C6" s="49" t="n"/>
      <c r="D6" s="49" t="n"/>
      <c r="E6" s="49">
        <f>IFERROR(VLOOKUP(D6,'Stock Master'!$A$2:$L$49,2,FALSE),"")</f>
        <v/>
      </c>
      <c r="F6" s="49" t="n"/>
      <c r="G6" s="51">
        <f>IFERROR(VLOOKUP(D6,'Stock Master'!$A$2:$L$49,5,FALSE)*F6,0)</f>
        <v/>
      </c>
      <c r="H6" s="51" t="n"/>
      <c r="I6" s="52" t="n"/>
      <c r="J6" s="51">
        <f>IFERROR(G6-H6,0)</f>
        <v/>
      </c>
      <c r="K6" s="52" t="n"/>
      <c r="L6" s="49">
        <f>IF(A6="","",IF(J6&lt;=0,"Paid",IF(AND(K6&lt;TODAY(),K6&lt;&gt;""),"Overdue","Open")))</f>
        <v/>
      </c>
      <c r="M6" s="49" t="n"/>
    </row>
    <row r="7">
      <c r="A7" s="52" t="n"/>
      <c r="B7" s="49" t="n"/>
      <c r="C7" s="49" t="n"/>
      <c r="D7" s="49" t="n"/>
      <c r="E7" s="49">
        <f>IFERROR(VLOOKUP(D7,'Stock Master'!$A$2:$L$49,2,FALSE),"")</f>
        <v/>
      </c>
      <c r="F7" s="49" t="n"/>
      <c r="G7" s="51">
        <f>IFERROR(VLOOKUP(D7,'Stock Master'!$A$2:$L$49,5,FALSE)*F7,0)</f>
        <v/>
      </c>
      <c r="H7" s="51" t="n"/>
      <c r="I7" s="52" t="n"/>
      <c r="J7" s="51">
        <f>IFERROR(G7-H7,0)</f>
        <v/>
      </c>
      <c r="K7" s="52" t="n"/>
      <c r="L7" s="49">
        <f>IF(A7="","",IF(J7&lt;=0,"Paid",IF(AND(K7&lt;TODAY(),K7&lt;&gt;""),"Overdue","Open")))</f>
        <v/>
      </c>
      <c r="M7" s="49" t="n"/>
    </row>
    <row r="8">
      <c r="A8" s="52" t="n"/>
      <c r="B8" s="49" t="n"/>
      <c r="C8" s="49" t="n"/>
      <c r="D8" s="49" t="n"/>
      <c r="E8" s="49">
        <f>IFERROR(VLOOKUP(D8,'Stock Master'!$A$2:$L$49,2,FALSE),"")</f>
        <v/>
      </c>
      <c r="F8" s="49" t="n"/>
      <c r="G8" s="51">
        <f>IFERROR(VLOOKUP(D8,'Stock Master'!$A$2:$L$49,5,FALSE)*F8,0)</f>
        <v/>
      </c>
      <c r="H8" s="51" t="n"/>
      <c r="I8" s="52" t="n"/>
      <c r="J8" s="51">
        <f>IFERROR(G8-H8,0)</f>
        <v/>
      </c>
      <c r="K8" s="52" t="n"/>
      <c r="L8" s="49">
        <f>IF(A8="","",IF(J8&lt;=0,"Paid",IF(AND(K8&lt;TODAY(),K8&lt;&gt;""),"Overdue","Open")))</f>
        <v/>
      </c>
      <c r="M8" s="49" t="n"/>
    </row>
    <row r="9">
      <c r="A9" s="52" t="n"/>
      <c r="B9" s="49" t="n"/>
      <c r="C9" s="49" t="n"/>
      <c r="D9" s="49" t="n"/>
      <c r="E9" s="49">
        <f>IFERROR(VLOOKUP(D9,'Stock Master'!$A$2:$L$49,2,FALSE),"")</f>
        <v/>
      </c>
      <c r="F9" s="49" t="n"/>
      <c r="G9" s="51">
        <f>IFERROR(VLOOKUP(D9,'Stock Master'!$A$2:$L$49,5,FALSE)*F9,0)</f>
        <v/>
      </c>
      <c r="H9" s="51" t="n"/>
      <c r="I9" s="52" t="n"/>
      <c r="J9" s="51">
        <f>IFERROR(G9-H9,0)</f>
        <v/>
      </c>
      <c r="K9" s="52" t="n"/>
      <c r="L9" s="49">
        <f>IF(A9="","",IF(J9&lt;=0,"Paid",IF(AND(K9&lt;TODAY(),K9&lt;&gt;""),"Overdue","Open")))</f>
        <v/>
      </c>
      <c r="M9" s="49" t="n"/>
    </row>
    <row r="10">
      <c r="A10" s="52" t="n"/>
      <c r="B10" s="49" t="n"/>
      <c r="C10" s="49" t="n"/>
      <c r="D10" s="49" t="n"/>
      <c r="E10" s="49">
        <f>IFERROR(VLOOKUP(D10,'Stock Master'!$A$2:$L$49,2,FALSE),"")</f>
        <v/>
      </c>
      <c r="F10" s="49" t="n"/>
      <c r="G10" s="51">
        <f>IFERROR(VLOOKUP(D10,'Stock Master'!$A$2:$L$49,5,FALSE)*F10,0)</f>
        <v/>
      </c>
      <c r="H10" s="51" t="n"/>
      <c r="I10" s="52" t="n"/>
      <c r="J10" s="51">
        <f>IFERROR(G10-H10,0)</f>
        <v/>
      </c>
      <c r="K10" s="52" t="n"/>
      <c r="L10" s="49">
        <f>IF(A10="","",IF(J10&lt;=0,"Paid",IF(AND(K10&lt;TODAY(),K10&lt;&gt;""),"Overdue","Open")))</f>
        <v/>
      </c>
      <c r="M10" s="49" t="n"/>
    </row>
    <row r="11">
      <c r="A11" s="52" t="n"/>
      <c r="B11" s="49" t="n"/>
      <c r="C11" s="49" t="n"/>
      <c r="D11" s="49" t="n"/>
      <c r="E11" s="49">
        <f>IFERROR(VLOOKUP(D11,'Stock Master'!$A$2:$L$49,2,FALSE),"")</f>
        <v/>
      </c>
      <c r="F11" s="49" t="n"/>
      <c r="G11" s="51">
        <f>IFERROR(VLOOKUP(D11,'Stock Master'!$A$2:$L$49,5,FALSE)*F11,0)</f>
        <v/>
      </c>
      <c r="H11" s="51" t="n"/>
      <c r="I11" s="52" t="n"/>
      <c r="J11" s="51">
        <f>IFERROR(G11-H11,0)</f>
        <v/>
      </c>
      <c r="K11" s="52" t="n"/>
      <c r="L11" s="49">
        <f>IF(A11="","",IF(J11&lt;=0,"Paid",IF(AND(K11&lt;TODAY(),K11&lt;&gt;""),"Overdue","Open")))</f>
        <v/>
      </c>
      <c r="M11" s="49" t="n"/>
    </row>
    <row r="12">
      <c r="A12" s="52" t="n"/>
      <c r="B12" s="49" t="n"/>
      <c r="C12" s="49" t="n"/>
      <c r="D12" s="49" t="n"/>
      <c r="E12" s="49">
        <f>IFERROR(VLOOKUP(D12,'Stock Master'!$A$2:$L$49,2,FALSE),"")</f>
        <v/>
      </c>
      <c r="F12" s="49" t="n"/>
      <c r="G12" s="51">
        <f>IFERROR(VLOOKUP(D12,'Stock Master'!$A$2:$L$49,5,FALSE)*F12,0)</f>
        <v/>
      </c>
      <c r="H12" s="51" t="n"/>
      <c r="I12" s="52" t="n"/>
      <c r="J12" s="51">
        <f>IFERROR(G12-H12,0)</f>
        <v/>
      </c>
      <c r="K12" s="52" t="n"/>
      <c r="L12" s="49">
        <f>IF(A12="","",IF(J12&lt;=0,"Paid",IF(AND(K12&lt;TODAY(),K12&lt;&gt;""),"Overdue","Open")))</f>
        <v/>
      </c>
      <c r="M12" s="49" t="n"/>
    </row>
    <row r="13">
      <c r="A13" s="52" t="n"/>
      <c r="B13" s="49" t="n"/>
      <c r="C13" s="49" t="n"/>
      <c r="D13" s="49" t="n"/>
      <c r="E13" s="49">
        <f>IFERROR(VLOOKUP(D13,'Stock Master'!$A$2:$L$49,2,FALSE),"")</f>
        <v/>
      </c>
      <c r="F13" s="49" t="n"/>
      <c r="G13" s="51">
        <f>IFERROR(VLOOKUP(D13,'Stock Master'!$A$2:$L$49,5,FALSE)*F13,0)</f>
        <v/>
      </c>
      <c r="H13" s="51" t="n"/>
      <c r="I13" s="52" t="n"/>
      <c r="J13" s="51">
        <f>IFERROR(G13-H13,0)</f>
        <v/>
      </c>
      <c r="K13" s="52" t="n"/>
      <c r="L13" s="49">
        <f>IF(A13="","",IF(J13&lt;=0,"Paid",IF(AND(K13&lt;TODAY(),K13&lt;&gt;""),"Overdue","Open")))</f>
        <v/>
      </c>
      <c r="M13" s="49" t="n"/>
    </row>
    <row r="14">
      <c r="A14" s="52" t="n"/>
      <c r="B14" s="49" t="n"/>
      <c r="C14" s="49" t="n"/>
      <c r="D14" s="49" t="n"/>
      <c r="E14" s="49">
        <f>IFERROR(VLOOKUP(D14,'Stock Master'!$A$2:$L$49,2,FALSE),"")</f>
        <v/>
      </c>
      <c r="F14" s="49" t="n"/>
      <c r="G14" s="51">
        <f>IFERROR(VLOOKUP(D14,'Stock Master'!$A$2:$L$49,5,FALSE)*F14,0)</f>
        <v/>
      </c>
      <c r="H14" s="51" t="n"/>
      <c r="I14" s="52" t="n"/>
      <c r="J14" s="51">
        <f>IFERROR(G14-H14,0)</f>
        <v/>
      </c>
      <c r="K14" s="52" t="n"/>
      <c r="L14" s="49">
        <f>IF(A14="","",IF(J14&lt;=0,"Paid",IF(AND(K14&lt;TODAY(),K14&lt;&gt;""),"Overdue","Open")))</f>
        <v/>
      </c>
      <c r="M14" s="49" t="n"/>
    </row>
    <row r="15">
      <c r="A15" s="52" t="n"/>
      <c r="B15" s="49" t="n"/>
      <c r="C15" s="49" t="n"/>
      <c r="D15" s="49" t="n"/>
      <c r="E15" s="49">
        <f>IFERROR(VLOOKUP(D15,'Stock Master'!$A$2:$L$49,2,FALSE),"")</f>
        <v/>
      </c>
      <c r="F15" s="49" t="n"/>
      <c r="G15" s="51">
        <f>IFERROR(VLOOKUP(D15,'Stock Master'!$A$2:$L$49,5,FALSE)*F15,0)</f>
        <v/>
      </c>
      <c r="H15" s="51" t="n"/>
      <c r="I15" s="52" t="n"/>
      <c r="J15" s="51">
        <f>IFERROR(G15-H15,0)</f>
        <v/>
      </c>
      <c r="K15" s="52" t="n"/>
      <c r="L15" s="49">
        <f>IF(A15="","",IF(J15&lt;=0,"Paid",IF(AND(K15&lt;TODAY(),K15&lt;&gt;""),"Overdue","Open")))</f>
        <v/>
      </c>
      <c r="M15" s="49" t="n"/>
    </row>
    <row r="16">
      <c r="A16" s="52" t="n"/>
      <c r="B16" s="49" t="n"/>
      <c r="C16" s="49" t="n"/>
      <c r="D16" s="49" t="n"/>
      <c r="E16" s="49">
        <f>IFERROR(VLOOKUP(D16,'Stock Master'!$A$2:$L$49,2,FALSE),"")</f>
        <v/>
      </c>
      <c r="F16" s="49" t="n"/>
      <c r="G16" s="51">
        <f>IFERROR(VLOOKUP(D16,'Stock Master'!$A$2:$L$49,5,FALSE)*F16,0)</f>
        <v/>
      </c>
      <c r="H16" s="51" t="n"/>
      <c r="I16" s="52" t="n"/>
      <c r="J16" s="51">
        <f>IFERROR(G16-H16,0)</f>
        <v/>
      </c>
      <c r="K16" s="52" t="n"/>
      <c r="L16" s="49">
        <f>IF(A16="","",IF(J16&lt;=0,"Paid",IF(AND(K16&lt;TODAY(),K16&lt;&gt;""),"Overdue","Open")))</f>
        <v/>
      </c>
      <c r="M16" s="49" t="n"/>
    </row>
    <row r="17">
      <c r="A17" s="52" t="n"/>
      <c r="B17" s="49" t="n"/>
      <c r="C17" s="49" t="n"/>
      <c r="D17" s="49" t="n"/>
      <c r="E17" s="49">
        <f>IFERROR(VLOOKUP(D17,'Stock Master'!$A$2:$L$49,2,FALSE),"")</f>
        <v/>
      </c>
      <c r="F17" s="49" t="n"/>
      <c r="G17" s="51">
        <f>IFERROR(VLOOKUP(D17,'Stock Master'!$A$2:$L$49,5,FALSE)*F17,0)</f>
        <v/>
      </c>
      <c r="H17" s="51" t="n"/>
      <c r="I17" s="52" t="n"/>
      <c r="J17" s="51">
        <f>IFERROR(G17-H17,0)</f>
        <v/>
      </c>
      <c r="K17" s="52" t="n"/>
      <c r="L17" s="49">
        <f>IF(A17="","",IF(J17&lt;=0,"Paid",IF(AND(K17&lt;TODAY(),K17&lt;&gt;""),"Overdue","Open")))</f>
        <v/>
      </c>
      <c r="M17" s="49" t="n"/>
    </row>
    <row r="18">
      <c r="A18" s="52" t="n"/>
      <c r="B18" s="49" t="n"/>
      <c r="C18" s="49" t="n"/>
      <c r="D18" s="49" t="n"/>
      <c r="E18" s="49">
        <f>IFERROR(VLOOKUP(D18,'Stock Master'!$A$2:$L$49,2,FALSE),"")</f>
        <v/>
      </c>
      <c r="F18" s="49" t="n"/>
      <c r="G18" s="51">
        <f>IFERROR(VLOOKUP(D18,'Stock Master'!$A$2:$L$49,5,FALSE)*F18,0)</f>
        <v/>
      </c>
      <c r="H18" s="51" t="n"/>
      <c r="I18" s="52" t="n"/>
      <c r="J18" s="51">
        <f>IFERROR(G18-H18,0)</f>
        <v/>
      </c>
      <c r="K18" s="52" t="n"/>
      <c r="L18" s="49">
        <f>IF(A18="","",IF(J18&lt;=0,"Paid",IF(AND(K18&lt;TODAY(),K18&lt;&gt;""),"Overdue","Open")))</f>
        <v/>
      </c>
      <c r="M18" s="49" t="n"/>
    </row>
    <row r="19">
      <c r="A19" s="52" t="n"/>
      <c r="B19" s="49" t="n"/>
      <c r="C19" s="49" t="n"/>
      <c r="D19" s="49" t="n"/>
      <c r="E19" s="49">
        <f>IFERROR(VLOOKUP(D19,'Stock Master'!$A$2:$L$49,2,FALSE),"")</f>
        <v/>
      </c>
      <c r="F19" s="49" t="n"/>
      <c r="G19" s="51">
        <f>IFERROR(VLOOKUP(D19,'Stock Master'!$A$2:$L$49,5,FALSE)*F19,0)</f>
        <v/>
      </c>
      <c r="H19" s="51" t="n"/>
      <c r="I19" s="52" t="n"/>
      <c r="J19" s="51">
        <f>IFERROR(G19-H19,0)</f>
        <v/>
      </c>
      <c r="K19" s="52" t="n"/>
      <c r="L19" s="49">
        <f>IF(A19="","",IF(J19&lt;=0,"Paid",IF(AND(K19&lt;TODAY(),K19&lt;&gt;""),"Overdue","Open")))</f>
        <v/>
      </c>
      <c r="M19" s="49" t="n"/>
    </row>
    <row r="20">
      <c r="A20" s="52" t="n"/>
      <c r="B20" s="49" t="n"/>
      <c r="C20" s="49" t="n"/>
      <c r="D20" s="49" t="n"/>
      <c r="E20" s="49">
        <f>IFERROR(VLOOKUP(D20,'Stock Master'!$A$2:$L$49,2,FALSE),"")</f>
        <v/>
      </c>
      <c r="F20" s="49" t="n"/>
      <c r="G20" s="51">
        <f>IFERROR(VLOOKUP(D20,'Stock Master'!$A$2:$L$49,5,FALSE)*F20,0)</f>
        <v/>
      </c>
      <c r="H20" s="51" t="n"/>
      <c r="I20" s="52" t="n"/>
      <c r="J20" s="51">
        <f>IFERROR(G20-H20,0)</f>
        <v/>
      </c>
      <c r="K20" s="52" t="n"/>
      <c r="L20" s="49">
        <f>IF(A20="","",IF(J20&lt;=0,"Paid",IF(AND(K20&lt;TODAY(),K20&lt;&gt;""),"Overdue","Open")))</f>
        <v/>
      </c>
      <c r="M20" s="49" t="n"/>
    </row>
    <row r="21">
      <c r="A21" s="52" t="n"/>
      <c r="B21" s="49" t="n"/>
      <c r="C21" s="49" t="n"/>
      <c r="D21" s="49" t="n"/>
      <c r="E21" s="49">
        <f>IFERROR(VLOOKUP(D21,'Stock Master'!$A$2:$L$49,2,FALSE),"")</f>
        <v/>
      </c>
      <c r="F21" s="49" t="n"/>
      <c r="G21" s="51">
        <f>IFERROR(VLOOKUP(D21,'Stock Master'!$A$2:$L$49,5,FALSE)*F21,0)</f>
        <v/>
      </c>
      <c r="H21" s="51" t="n"/>
      <c r="I21" s="52" t="n"/>
      <c r="J21" s="51">
        <f>IFERROR(G21-H21,0)</f>
        <v/>
      </c>
      <c r="K21" s="52" t="n"/>
      <c r="L21" s="49">
        <f>IF(A21="","",IF(J21&lt;=0,"Paid",IF(AND(K21&lt;TODAY(),K21&lt;&gt;""),"Overdue","Open")))</f>
        <v/>
      </c>
      <c r="M21" s="49" t="n"/>
    </row>
    <row r="22">
      <c r="A22" s="52" t="n"/>
      <c r="B22" s="49" t="n"/>
      <c r="C22" s="49" t="n"/>
      <c r="D22" s="49" t="n"/>
      <c r="E22" s="49">
        <f>IFERROR(VLOOKUP(D22,'Stock Master'!$A$2:$L$49,2,FALSE),"")</f>
        <v/>
      </c>
      <c r="F22" s="49" t="n"/>
      <c r="G22" s="51">
        <f>IFERROR(VLOOKUP(D22,'Stock Master'!$A$2:$L$49,5,FALSE)*F22,0)</f>
        <v/>
      </c>
      <c r="H22" s="51" t="n"/>
      <c r="I22" s="52" t="n"/>
      <c r="J22" s="51">
        <f>IFERROR(G22-H22,0)</f>
        <v/>
      </c>
      <c r="K22" s="52" t="n"/>
      <c r="L22" s="49">
        <f>IF(A22="","",IF(J22&lt;=0,"Paid",IF(AND(K22&lt;TODAY(),K22&lt;&gt;""),"Overdue","Open")))</f>
        <v/>
      </c>
      <c r="M22" s="49" t="n"/>
    </row>
    <row r="23">
      <c r="A23" s="52" t="n"/>
      <c r="B23" s="49" t="n"/>
      <c r="C23" s="49" t="n"/>
      <c r="D23" s="49" t="n"/>
      <c r="E23" s="49">
        <f>IFERROR(VLOOKUP(D23,'Stock Master'!$A$2:$L$49,2,FALSE),"")</f>
        <v/>
      </c>
      <c r="F23" s="49" t="n"/>
      <c r="G23" s="51">
        <f>IFERROR(VLOOKUP(D23,'Stock Master'!$A$2:$L$49,5,FALSE)*F23,0)</f>
        <v/>
      </c>
      <c r="H23" s="51" t="n"/>
      <c r="I23" s="52" t="n"/>
      <c r="J23" s="51">
        <f>IFERROR(G23-H23,0)</f>
        <v/>
      </c>
      <c r="K23" s="52" t="n"/>
      <c r="L23" s="49">
        <f>IF(A23="","",IF(J23&lt;=0,"Paid",IF(AND(K23&lt;TODAY(),K23&lt;&gt;""),"Overdue","Open")))</f>
        <v/>
      </c>
      <c r="M23" s="49" t="n"/>
    </row>
    <row r="24">
      <c r="A24" s="52" t="n"/>
      <c r="B24" s="49" t="n"/>
      <c r="C24" s="49" t="n"/>
      <c r="D24" s="49" t="n"/>
      <c r="E24" s="49">
        <f>IFERROR(VLOOKUP(D24,'Stock Master'!$A$2:$L$49,2,FALSE),"")</f>
        <v/>
      </c>
      <c r="F24" s="49" t="n"/>
      <c r="G24" s="51">
        <f>IFERROR(VLOOKUP(D24,'Stock Master'!$A$2:$L$49,5,FALSE)*F24,0)</f>
        <v/>
      </c>
      <c r="H24" s="51" t="n"/>
      <c r="I24" s="52" t="n"/>
      <c r="J24" s="51">
        <f>IFERROR(G24-H24,0)</f>
        <v/>
      </c>
      <c r="K24" s="52" t="n"/>
      <c r="L24" s="49">
        <f>IF(A24="","",IF(J24&lt;=0,"Paid",IF(AND(K24&lt;TODAY(),K24&lt;&gt;""),"Overdue","Open")))</f>
        <v/>
      </c>
      <c r="M24" s="49" t="n"/>
    </row>
    <row r="25">
      <c r="A25" s="52" t="n"/>
      <c r="B25" s="49" t="n"/>
      <c r="C25" s="49" t="n"/>
      <c r="D25" s="49" t="n"/>
      <c r="E25" s="49">
        <f>IFERROR(VLOOKUP(D25,'Stock Master'!$A$2:$L$49,2,FALSE),"")</f>
        <v/>
      </c>
      <c r="F25" s="49" t="n"/>
      <c r="G25" s="51">
        <f>IFERROR(VLOOKUP(D25,'Stock Master'!$A$2:$L$49,5,FALSE)*F25,0)</f>
        <v/>
      </c>
      <c r="H25" s="51" t="n"/>
      <c r="I25" s="52" t="n"/>
      <c r="J25" s="51">
        <f>IFERROR(G25-H25,0)</f>
        <v/>
      </c>
      <c r="K25" s="52" t="n"/>
      <c r="L25" s="49">
        <f>IF(A25="","",IF(J25&lt;=0,"Paid",IF(AND(K25&lt;TODAY(),K25&lt;&gt;""),"Overdue","Open")))</f>
        <v/>
      </c>
      <c r="M25" s="49" t="n"/>
    </row>
    <row r="26">
      <c r="A26" s="52" t="n"/>
      <c r="B26" s="49" t="n"/>
      <c r="C26" s="49" t="n"/>
      <c r="D26" s="49" t="n"/>
      <c r="E26" s="49">
        <f>IFERROR(VLOOKUP(D26,'Stock Master'!$A$2:$L$49,2,FALSE),"")</f>
        <v/>
      </c>
      <c r="F26" s="49" t="n"/>
      <c r="G26" s="51">
        <f>IFERROR(VLOOKUP(D26,'Stock Master'!$A$2:$L$49,5,FALSE)*F26,0)</f>
        <v/>
      </c>
      <c r="H26" s="51" t="n"/>
      <c r="I26" s="52" t="n"/>
      <c r="J26" s="51">
        <f>IFERROR(G26-H26,0)</f>
        <v/>
      </c>
      <c r="K26" s="52" t="n"/>
      <c r="L26" s="49">
        <f>IF(A26="","",IF(J26&lt;=0,"Paid",IF(AND(K26&lt;TODAY(),K26&lt;&gt;""),"Overdue","Open")))</f>
        <v/>
      </c>
      <c r="M26" s="49" t="n"/>
    </row>
    <row r="27">
      <c r="A27" s="52" t="n"/>
      <c r="B27" s="49" t="n"/>
      <c r="C27" s="49" t="n"/>
      <c r="D27" s="49" t="n"/>
      <c r="E27" s="49">
        <f>IFERROR(VLOOKUP(D27,'Stock Master'!$A$2:$L$49,2,FALSE),"")</f>
        <v/>
      </c>
      <c r="F27" s="49" t="n"/>
      <c r="G27" s="51">
        <f>IFERROR(VLOOKUP(D27,'Stock Master'!$A$2:$L$49,5,FALSE)*F27,0)</f>
        <v/>
      </c>
      <c r="H27" s="51" t="n"/>
      <c r="I27" s="52" t="n"/>
      <c r="J27" s="51">
        <f>IFERROR(G27-H27,0)</f>
        <v/>
      </c>
      <c r="K27" s="52" t="n"/>
      <c r="L27" s="49">
        <f>IF(A27="","",IF(J27&lt;=0,"Paid",IF(AND(K27&lt;TODAY(),K27&lt;&gt;""),"Overdue","Open")))</f>
        <v/>
      </c>
      <c r="M27" s="49" t="n"/>
    </row>
    <row r="28">
      <c r="A28" s="52" t="n"/>
      <c r="B28" s="49" t="n"/>
      <c r="C28" s="49" t="n"/>
      <c r="D28" s="49" t="n"/>
      <c r="E28" s="49">
        <f>IFERROR(VLOOKUP(D28,'Stock Master'!$A$2:$L$49,2,FALSE),"")</f>
        <v/>
      </c>
      <c r="F28" s="49" t="n"/>
      <c r="G28" s="51">
        <f>IFERROR(VLOOKUP(D28,'Stock Master'!$A$2:$L$49,5,FALSE)*F28,0)</f>
        <v/>
      </c>
      <c r="H28" s="51" t="n"/>
      <c r="I28" s="52" t="n"/>
      <c r="J28" s="51">
        <f>IFERROR(G28-H28,0)</f>
        <v/>
      </c>
      <c r="K28" s="52" t="n"/>
      <c r="L28" s="49">
        <f>IF(A28="","",IF(J28&lt;=0,"Paid",IF(AND(K28&lt;TODAY(),K28&lt;&gt;""),"Overdue","Open")))</f>
        <v/>
      </c>
      <c r="M28" s="49" t="n"/>
    </row>
    <row r="29">
      <c r="A29" s="52" t="n"/>
      <c r="B29" s="49" t="n"/>
      <c r="C29" s="49" t="n"/>
      <c r="D29" s="49" t="n"/>
      <c r="E29" s="49">
        <f>IFERROR(VLOOKUP(D29,'Stock Master'!$A$2:$L$49,2,FALSE),"")</f>
        <v/>
      </c>
      <c r="F29" s="49" t="n"/>
      <c r="G29" s="51">
        <f>IFERROR(VLOOKUP(D29,'Stock Master'!$A$2:$L$49,5,FALSE)*F29,0)</f>
        <v/>
      </c>
      <c r="H29" s="51" t="n"/>
      <c r="I29" s="52" t="n"/>
      <c r="J29" s="51">
        <f>IFERROR(G29-H29,0)</f>
        <v/>
      </c>
      <c r="K29" s="52" t="n"/>
      <c r="L29" s="49">
        <f>IF(A29="","",IF(J29&lt;=0,"Paid",IF(AND(K29&lt;TODAY(),K29&lt;&gt;""),"Overdue","Open")))</f>
        <v/>
      </c>
      <c r="M29" s="49" t="n"/>
    </row>
    <row r="30">
      <c r="A30" s="52" t="n"/>
      <c r="B30" s="49" t="n"/>
      <c r="C30" s="49" t="n"/>
      <c r="D30" s="49" t="n"/>
      <c r="E30" s="49">
        <f>IFERROR(VLOOKUP(D30,'Stock Master'!$A$2:$L$49,2,FALSE),"")</f>
        <v/>
      </c>
      <c r="F30" s="49" t="n"/>
      <c r="G30" s="51">
        <f>IFERROR(VLOOKUP(D30,'Stock Master'!$A$2:$L$49,5,FALSE)*F30,0)</f>
        <v/>
      </c>
      <c r="H30" s="51" t="n"/>
      <c r="I30" s="52" t="n"/>
      <c r="J30" s="51">
        <f>IFERROR(G30-H30,0)</f>
        <v/>
      </c>
      <c r="K30" s="52" t="n"/>
      <c r="L30" s="49">
        <f>IF(A30="","",IF(J30&lt;=0,"Paid",IF(AND(K30&lt;TODAY(),K30&lt;&gt;""),"Overdue","Open")))</f>
        <v/>
      </c>
      <c r="M30" s="49" t="n"/>
    </row>
    <row r="31">
      <c r="A31" s="52" t="n"/>
      <c r="B31" s="49" t="n"/>
      <c r="C31" s="49" t="n"/>
      <c r="D31" s="49" t="n"/>
      <c r="E31" s="49">
        <f>IFERROR(VLOOKUP(D31,'Stock Master'!$A$2:$L$49,2,FALSE),"")</f>
        <v/>
      </c>
      <c r="F31" s="49" t="n"/>
      <c r="G31" s="51">
        <f>IFERROR(VLOOKUP(D31,'Stock Master'!$A$2:$L$49,5,FALSE)*F31,0)</f>
        <v/>
      </c>
      <c r="H31" s="51" t="n"/>
      <c r="I31" s="52" t="n"/>
      <c r="J31" s="51">
        <f>IFERROR(G31-H31,0)</f>
        <v/>
      </c>
      <c r="K31" s="52" t="n"/>
      <c r="L31" s="49">
        <f>IF(A31="","",IF(J31&lt;=0,"Paid",IF(AND(K31&lt;TODAY(),K31&lt;&gt;""),"Overdue","Open")))</f>
        <v/>
      </c>
      <c r="M31" s="49" t="n"/>
    </row>
    <row r="32">
      <c r="A32" s="52" t="n"/>
      <c r="B32" s="49" t="n"/>
      <c r="C32" s="49" t="n"/>
      <c r="D32" s="49" t="n"/>
      <c r="E32" s="49">
        <f>IFERROR(VLOOKUP(D32,'Stock Master'!$A$2:$L$49,2,FALSE),"")</f>
        <v/>
      </c>
      <c r="F32" s="49" t="n"/>
      <c r="G32" s="51">
        <f>IFERROR(VLOOKUP(D32,'Stock Master'!$A$2:$L$49,5,FALSE)*F32,0)</f>
        <v/>
      </c>
      <c r="H32" s="51" t="n"/>
      <c r="I32" s="52" t="n"/>
      <c r="J32" s="51">
        <f>IFERROR(G32-H32,0)</f>
        <v/>
      </c>
      <c r="K32" s="52" t="n"/>
      <c r="L32" s="49">
        <f>IF(A32="","",IF(J32&lt;=0,"Paid",IF(AND(K32&lt;TODAY(),K32&lt;&gt;""),"Overdue","Open")))</f>
        <v/>
      </c>
      <c r="M32" s="49" t="n"/>
    </row>
    <row r="33">
      <c r="A33" s="52" t="n"/>
      <c r="B33" s="49" t="n"/>
      <c r="C33" s="49" t="n"/>
      <c r="D33" s="49" t="n"/>
      <c r="E33" s="49">
        <f>IFERROR(VLOOKUP(D33,'Stock Master'!$A$2:$L$49,2,FALSE),"")</f>
        <v/>
      </c>
      <c r="F33" s="49" t="n"/>
      <c r="G33" s="51">
        <f>IFERROR(VLOOKUP(D33,'Stock Master'!$A$2:$L$49,5,FALSE)*F33,0)</f>
        <v/>
      </c>
      <c r="H33" s="51" t="n"/>
      <c r="I33" s="52" t="n"/>
      <c r="J33" s="51">
        <f>IFERROR(G33-H33,0)</f>
        <v/>
      </c>
      <c r="K33" s="52" t="n"/>
      <c r="L33" s="49">
        <f>IF(A33="","",IF(J33&lt;=0,"Paid",IF(AND(K33&lt;TODAY(),K33&lt;&gt;""),"Overdue","Open")))</f>
        <v/>
      </c>
      <c r="M33" s="49" t="n"/>
    </row>
    <row r="34">
      <c r="A34" s="52" t="n"/>
      <c r="B34" s="49" t="n"/>
      <c r="C34" s="49" t="n"/>
      <c r="D34" s="49" t="n"/>
      <c r="E34" s="49">
        <f>IFERROR(VLOOKUP(D34,'Stock Master'!$A$2:$L$49,2,FALSE),"")</f>
        <v/>
      </c>
      <c r="F34" s="49" t="n"/>
      <c r="G34" s="51">
        <f>IFERROR(VLOOKUP(D34,'Stock Master'!$A$2:$L$49,5,FALSE)*F34,0)</f>
        <v/>
      </c>
      <c r="H34" s="51" t="n"/>
      <c r="I34" s="52" t="n"/>
      <c r="J34" s="51">
        <f>IFERROR(G34-H34,0)</f>
        <v/>
      </c>
      <c r="K34" s="52" t="n"/>
      <c r="L34" s="49">
        <f>IF(A34="","",IF(J34&lt;=0,"Paid",IF(AND(K34&lt;TODAY(),K34&lt;&gt;""),"Overdue","Open")))</f>
        <v/>
      </c>
      <c r="M34" s="49" t="n"/>
    </row>
    <row r="35">
      <c r="A35" s="52" t="n"/>
      <c r="B35" s="49" t="n"/>
      <c r="C35" s="49" t="n"/>
      <c r="D35" s="49" t="n"/>
      <c r="E35" s="49">
        <f>IFERROR(VLOOKUP(D35,'Stock Master'!$A$2:$L$49,2,FALSE),"")</f>
        <v/>
      </c>
      <c r="F35" s="49" t="n"/>
      <c r="G35" s="51">
        <f>IFERROR(VLOOKUP(D35,'Stock Master'!$A$2:$L$49,5,FALSE)*F35,0)</f>
        <v/>
      </c>
      <c r="H35" s="51" t="n"/>
      <c r="I35" s="52" t="n"/>
      <c r="J35" s="51">
        <f>IFERROR(G35-H35,0)</f>
        <v/>
      </c>
      <c r="K35" s="52" t="n"/>
      <c r="L35" s="49">
        <f>IF(A35="","",IF(J35&lt;=0,"Paid",IF(AND(K35&lt;TODAY(),K35&lt;&gt;""),"Overdue","Open")))</f>
        <v/>
      </c>
      <c r="M35" s="49" t="n"/>
    </row>
    <row r="36">
      <c r="A36" s="52" t="n"/>
      <c r="B36" s="49" t="n"/>
      <c r="C36" s="49" t="n"/>
      <c r="D36" s="49" t="n"/>
      <c r="E36" s="49">
        <f>IFERROR(VLOOKUP(D36,'Stock Master'!$A$2:$L$49,2,FALSE),"")</f>
        <v/>
      </c>
      <c r="F36" s="49" t="n"/>
      <c r="G36" s="51">
        <f>IFERROR(VLOOKUP(D36,'Stock Master'!$A$2:$L$49,5,FALSE)*F36,0)</f>
        <v/>
      </c>
      <c r="H36" s="51" t="n"/>
      <c r="I36" s="52" t="n"/>
      <c r="J36" s="51">
        <f>IFERROR(G36-H36,0)</f>
        <v/>
      </c>
      <c r="K36" s="52" t="n"/>
      <c r="L36" s="49">
        <f>IF(A36="","",IF(J36&lt;=0,"Paid",IF(AND(K36&lt;TODAY(),K36&lt;&gt;""),"Overdue","Open")))</f>
        <v/>
      </c>
      <c r="M36" s="49" t="n"/>
    </row>
    <row r="37">
      <c r="A37" s="52" t="n"/>
      <c r="B37" s="49" t="n"/>
      <c r="C37" s="49" t="n"/>
      <c r="D37" s="49" t="n"/>
      <c r="E37" s="49">
        <f>IFERROR(VLOOKUP(D37,'Stock Master'!$A$2:$L$49,2,FALSE),"")</f>
        <v/>
      </c>
      <c r="F37" s="49" t="n"/>
      <c r="G37" s="51">
        <f>IFERROR(VLOOKUP(D37,'Stock Master'!$A$2:$L$49,5,FALSE)*F37,0)</f>
        <v/>
      </c>
      <c r="H37" s="51" t="n"/>
      <c r="I37" s="52" t="n"/>
      <c r="J37" s="51">
        <f>IFERROR(G37-H37,0)</f>
        <v/>
      </c>
      <c r="K37" s="52" t="n"/>
      <c r="L37" s="49">
        <f>IF(A37="","",IF(J37&lt;=0,"Paid",IF(AND(K37&lt;TODAY(),K37&lt;&gt;""),"Overdue","Open")))</f>
        <v/>
      </c>
      <c r="M37" s="49" t="n"/>
    </row>
    <row r="38">
      <c r="A38" s="52" t="n"/>
      <c r="B38" s="49" t="n"/>
      <c r="C38" s="49" t="n"/>
      <c r="D38" s="49" t="n"/>
      <c r="E38" s="49">
        <f>IFERROR(VLOOKUP(D38,'Stock Master'!$A$2:$L$49,2,FALSE),"")</f>
        <v/>
      </c>
      <c r="F38" s="49" t="n"/>
      <c r="G38" s="51">
        <f>IFERROR(VLOOKUP(D38,'Stock Master'!$A$2:$L$49,5,FALSE)*F38,0)</f>
        <v/>
      </c>
      <c r="H38" s="51" t="n"/>
      <c r="I38" s="52" t="n"/>
      <c r="J38" s="51">
        <f>IFERROR(G38-H38,0)</f>
        <v/>
      </c>
      <c r="K38" s="52" t="n"/>
      <c r="L38" s="49">
        <f>IF(A38="","",IF(J38&lt;=0,"Paid",IF(AND(K38&lt;TODAY(),K38&lt;&gt;""),"Overdue","Open")))</f>
        <v/>
      </c>
      <c r="M38" s="49" t="n"/>
    </row>
    <row r="39">
      <c r="A39" s="52" t="n"/>
      <c r="B39" s="49" t="n"/>
      <c r="C39" s="49" t="n"/>
      <c r="D39" s="49" t="n"/>
      <c r="E39" s="49">
        <f>IFERROR(VLOOKUP(D39,'Stock Master'!$A$2:$L$49,2,FALSE),"")</f>
        <v/>
      </c>
      <c r="F39" s="49" t="n"/>
      <c r="G39" s="51">
        <f>IFERROR(VLOOKUP(D39,'Stock Master'!$A$2:$L$49,5,FALSE)*F39,0)</f>
        <v/>
      </c>
      <c r="H39" s="51" t="n"/>
      <c r="I39" s="52" t="n"/>
      <c r="J39" s="51">
        <f>IFERROR(G39-H39,0)</f>
        <v/>
      </c>
      <c r="K39" s="52" t="n"/>
      <c r="L39" s="49">
        <f>IF(A39="","",IF(J39&lt;=0,"Paid",IF(AND(K39&lt;TODAY(),K39&lt;&gt;""),"Overdue","Open")))</f>
        <v/>
      </c>
      <c r="M39" s="49" t="n"/>
    </row>
    <row r="40">
      <c r="A40" s="52" t="n"/>
      <c r="B40" s="49" t="n"/>
      <c r="C40" s="49" t="n"/>
      <c r="D40" s="49" t="n"/>
      <c r="E40" s="49">
        <f>IFERROR(VLOOKUP(D40,'Stock Master'!$A$2:$L$49,2,FALSE),"")</f>
        <v/>
      </c>
      <c r="F40" s="49" t="n"/>
      <c r="G40" s="51">
        <f>IFERROR(VLOOKUP(D40,'Stock Master'!$A$2:$L$49,5,FALSE)*F40,0)</f>
        <v/>
      </c>
      <c r="H40" s="51" t="n"/>
      <c r="I40" s="52" t="n"/>
      <c r="J40" s="51">
        <f>IFERROR(G40-H40,0)</f>
        <v/>
      </c>
      <c r="K40" s="52" t="n"/>
      <c r="L40" s="49">
        <f>IF(A40="","",IF(J40&lt;=0,"Paid",IF(AND(K40&lt;TODAY(),K40&lt;&gt;""),"Overdue","Open")))</f>
        <v/>
      </c>
      <c r="M40" s="49" t="n"/>
    </row>
    <row r="41">
      <c r="A41" s="52" t="n"/>
      <c r="B41" s="49" t="n"/>
      <c r="C41" s="49" t="n"/>
      <c r="D41" s="49" t="n"/>
      <c r="E41" s="49">
        <f>IFERROR(VLOOKUP(D41,'Stock Master'!$A$2:$L$49,2,FALSE),"")</f>
        <v/>
      </c>
      <c r="F41" s="49" t="n"/>
      <c r="G41" s="51">
        <f>IFERROR(VLOOKUP(D41,'Stock Master'!$A$2:$L$49,5,FALSE)*F41,0)</f>
        <v/>
      </c>
      <c r="H41" s="51" t="n"/>
      <c r="I41" s="52" t="n"/>
      <c r="J41" s="51">
        <f>IFERROR(G41-H41,0)</f>
        <v/>
      </c>
      <c r="K41" s="52" t="n"/>
      <c r="L41" s="49">
        <f>IF(A41="","",IF(J41&lt;=0,"Paid",IF(AND(K41&lt;TODAY(),K41&lt;&gt;""),"Overdue","Open")))</f>
        <v/>
      </c>
      <c r="M41" s="49" t="n"/>
    </row>
    <row r="42">
      <c r="A42" s="52" t="n"/>
      <c r="B42" s="49" t="n"/>
      <c r="C42" s="49" t="n"/>
      <c r="D42" s="49" t="n"/>
      <c r="E42" s="49">
        <f>IFERROR(VLOOKUP(D42,'Stock Master'!$A$2:$L$49,2,FALSE),"")</f>
        <v/>
      </c>
      <c r="F42" s="49" t="n"/>
      <c r="G42" s="51">
        <f>IFERROR(VLOOKUP(D42,'Stock Master'!$A$2:$L$49,5,FALSE)*F42,0)</f>
        <v/>
      </c>
      <c r="H42" s="51" t="n"/>
      <c r="I42" s="52" t="n"/>
      <c r="J42" s="51">
        <f>IFERROR(G42-H42,0)</f>
        <v/>
      </c>
      <c r="K42" s="52" t="n"/>
      <c r="L42" s="49">
        <f>IF(A42="","",IF(J42&lt;=0,"Paid",IF(AND(K42&lt;TODAY(),K42&lt;&gt;""),"Overdue","Open")))</f>
        <v/>
      </c>
      <c r="M42" s="49" t="n"/>
    </row>
    <row r="43">
      <c r="A43" s="52" t="n"/>
      <c r="B43" s="49" t="n"/>
      <c r="C43" s="49" t="n"/>
      <c r="D43" s="49" t="n"/>
      <c r="E43" s="49">
        <f>IFERROR(VLOOKUP(D43,'Stock Master'!$A$2:$L$49,2,FALSE),"")</f>
        <v/>
      </c>
      <c r="F43" s="49" t="n"/>
      <c r="G43" s="51">
        <f>IFERROR(VLOOKUP(D43,'Stock Master'!$A$2:$L$49,5,FALSE)*F43,0)</f>
        <v/>
      </c>
      <c r="H43" s="51" t="n"/>
      <c r="I43" s="52" t="n"/>
      <c r="J43" s="51">
        <f>IFERROR(G43-H43,0)</f>
        <v/>
      </c>
      <c r="K43" s="52" t="n"/>
      <c r="L43" s="49">
        <f>IF(A43="","",IF(J43&lt;=0,"Paid",IF(AND(K43&lt;TODAY(),K43&lt;&gt;""),"Overdue","Open")))</f>
        <v/>
      </c>
      <c r="M43" s="49" t="n"/>
    </row>
    <row r="44">
      <c r="A44" s="52" t="n"/>
      <c r="B44" s="49" t="n"/>
      <c r="C44" s="49" t="n"/>
      <c r="D44" s="49" t="n"/>
      <c r="E44" s="49">
        <f>IFERROR(VLOOKUP(D44,'Stock Master'!$A$2:$L$49,2,FALSE),"")</f>
        <v/>
      </c>
      <c r="F44" s="49" t="n"/>
      <c r="G44" s="51">
        <f>IFERROR(VLOOKUP(D44,'Stock Master'!$A$2:$L$49,5,FALSE)*F44,0)</f>
        <v/>
      </c>
      <c r="H44" s="51" t="n"/>
      <c r="I44" s="52" t="n"/>
      <c r="J44" s="51">
        <f>IFERROR(G44-H44,0)</f>
        <v/>
      </c>
      <c r="K44" s="52" t="n"/>
      <c r="L44" s="49">
        <f>IF(A44="","",IF(J44&lt;=0,"Paid",IF(AND(K44&lt;TODAY(),K44&lt;&gt;""),"Overdue","Open")))</f>
        <v/>
      </c>
      <c r="M44" s="49" t="n"/>
    </row>
    <row r="45">
      <c r="A45" s="52" t="n"/>
      <c r="B45" s="49" t="n"/>
      <c r="C45" s="49" t="n"/>
      <c r="D45" s="49" t="n"/>
      <c r="E45" s="49">
        <f>IFERROR(VLOOKUP(D45,'Stock Master'!$A$2:$L$49,2,FALSE),"")</f>
        <v/>
      </c>
      <c r="F45" s="49" t="n"/>
      <c r="G45" s="51">
        <f>IFERROR(VLOOKUP(D45,'Stock Master'!$A$2:$L$49,5,FALSE)*F45,0)</f>
        <v/>
      </c>
      <c r="H45" s="51" t="n"/>
      <c r="I45" s="52" t="n"/>
      <c r="J45" s="51">
        <f>IFERROR(G45-H45,0)</f>
        <v/>
      </c>
      <c r="K45" s="52" t="n"/>
      <c r="L45" s="49">
        <f>IF(A45="","",IF(J45&lt;=0,"Paid",IF(AND(K45&lt;TODAY(),K45&lt;&gt;""),"Overdue","Open")))</f>
        <v/>
      </c>
      <c r="M45" s="49" t="n"/>
    </row>
    <row r="46">
      <c r="A46" s="52" t="n"/>
      <c r="B46" s="49" t="n"/>
      <c r="C46" s="49" t="n"/>
      <c r="D46" s="49" t="n"/>
      <c r="E46" s="49">
        <f>IFERROR(VLOOKUP(D46,'Stock Master'!$A$2:$L$49,2,FALSE),"")</f>
        <v/>
      </c>
      <c r="F46" s="49" t="n"/>
      <c r="G46" s="51">
        <f>IFERROR(VLOOKUP(D46,'Stock Master'!$A$2:$L$49,5,FALSE)*F46,0)</f>
        <v/>
      </c>
      <c r="H46" s="51" t="n"/>
      <c r="I46" s="52" t="n"/>
      <c r="J46" s="51">
        <f>IFERROR(G46-H46,0)</f>
        <v/>
      </c>
      <c r="K46" s="52" t="n"/>
      <c r="L46" s="49">
        <f>IF(A46="","",IF(J46&lt;=0,"Paid",IF(AND(K46&lt;TODAY(),K46&lt;&gt;""),"Overdue","Open")))</f>
        <v/>
      </c>
      <c r="M46" s="49" t="n"/>
    </row>
    <row r="47">
      <c r="A47" s="52" t="n"/>
      <c r="B47" s="49" t="n"/>
      <c r="C47" s="49" t="n"/>
      <c r="D47" s="49" t="n"/>
      <c r="E47" s="49">
        <f>IFERROR(VLOOKUP(D47,'Stock Master'!$A$2:$L$49,2,FALSE),"")</f>
        <v/>
      </c>
      <c r="F47" s="49" t="n"/>
      <c r="G47" s="51">
        <f>IFERROR(VLOOKUP(D47,'Stock Master'!$A$2:$L$49,5,FALSE)*F47,0)</f>
        <v/>
      </c>
      <c r="H47" s="51" t="n"/>
      <c r="I47" s="52" t="n"/>
      <c r="J47" s="51">
        <f>IFERROR(G47-H47,0)</f>
        <v/>
      </c>
      <c r="K47" s="52" t="n"/>
      <c r="L47" s="49">
        <f>IF(A47="","",IF(J47&lt;=0,"Paid",IF(AND(K47&lt;TODAY(),K47&lt;&gt;""),"Overdue","Open")))</f>
        <v/>
      </c>
      <c r="M47" s="49" t="n"/>
    </row>
    <row r="48">
      <c r="A48" s="52" t="n"/>
      <c r="B48" s="49" t="n"/>
      <c r="C48" s="49" t="n"/>
      <c r="D48" s="49" t="n"/>
      <c r="E48" s="49">
        <f>IFERROR(VLOOKUP(D48,'Stock Master'!$A$2:$L$49,2,FALSE),"")</f>
        <v/>
      </c>
      <c r="F48" s="49" t="n"/>
      <c r="G48" s="51">
        <f>IFERROR(VLOOKUP(D48,'Stock Master'!$A$2:$L$49,5,FALSE)*F48,0)</f>
        <v/>
      </c>
      <c r="H48" s="51" t="n"/>
      <c r="I48" s="52" t="n"/>
      <c r="J48" s="51">
        <f>IFERROR(G48-H48,0)</f>
        <v/>
      </c>
      <c r="K48" s="52" t="n"/>
      <c r="L48" s="49">
        <f>IF(A48="","",IF(J48&lt;=0,"Paid",IF(AND(K48&lt;TODAY(),K48&lt;&gt;""),"Overdue","Open")))</f>
        <v/>
      </c>
      <c r="M48" s="49" t="n"/>
    </row>
    <row r="49">
      <c r="A49" s="52" t="n"/>
      <c r="B49" s="49" t="n"/>
      <c r="C49" s="49" t="n"/>
      <c r="D49" s="49" t="n"/>
      <c r="E49" s="49">
        <f>IFERROR(VLOOKUP(D49,'Stock Master'!$A$2:$L$49,2,FALSE),"")</f>
        <v/>
      </c>
      <c r="F49" s="49" t="n"/>
      <c r="G49" s="51">
        <f>IFERROR(VLOOKUP(D49,'Stock Master'!$A$2:$L$49,5,FALSE)*F49,0)</f>
        <v/>
      </c>
      <c r="H49" s="51" t="n"/>
      <c r="I49" s="52" t="n"/>
      <c r="J49" s="51">
        <f>IFERROR(G49-H49,0)</f>
        <v/>
      </c>
      <c r="K49" s="52" t="n"/>
      <c r="L49" s="49">
        <f>IF(A49="","",IF(J49&lt;=0,"Paid",IF(AND(K49&lt;TODAY(),K49&lt;&gt;""),"Overdue","Open")))</f>
        <v/>
      </c>
      <c r="M49" s="49" t="n"/>
    </row>
    <row r="50">
      <c r="A50" s="52" t="n"/>
      <c r="B50" s="49" t="n"/>
      <c r="C50" s="49" t="n"/>
      <c r="D50" s="49" t="n"/>
      <c r="E50" s="49">
        <f>IFERROR(VLOOKUP(D50,'Stock Master'!$A$2:$L$49,2,FALSE),"")</f>
        <v/>
      </c>
      <c r="F50" s="49" t="n"/>
      <c r="G50" s="51">
        <f>IFERROR(VLOOKUP(D50,'Stock Master'!$A$2:$L$49,5,FALSE)*F50,0)</f>
        <v/>
      </c>
      <c r="H50" s="51" t="n"/>
      <c r="I50" s="52" t="n"/>
      <c r="J50" s="51">
        <f>IFERROR(G50-H50,0)</f>
        <v/>
      </c>
      <c r="K50" s="52" t="n"/>
      <c r="L50" s="49">
        <f>IF(A50="","",IF(J50&lt;=0,"Paid",IF(AND(K50&lt;TODAY(),K50&lt;&gt;""),"Overdue","Open")))</f>
        <v/>
      </c>
      <c r="M50" s="49" t="n"/>
    </row>
    <row r="51">
      <c r="A51" s="52" t="n"/>
      <c r="B51" s="49" t="n"/>
      <c r="C51" s="49" t="n"/>
      <c r="D51" s="49" t="n"/>
      <c r="E51" s="49">
        <f>IFERROR(VLOOKUP(D51,'Stock Master'!$A$2:$L$49,2,FALSE),"")</f>
        <v/>
      </c>
      <c r="F51" s="49" t="n"/>
      <c r="G51" s="51">
        <f>IFERROR(VLOOKUP(D51,'Stock Master'!$A$2:$L$49,5,FALSE)*F51,0)</f>
        <v/>
      </c>
      <c r="H51" s="51" t="n"/>
      <c r="I51" s="52" t="n"/>
      <c r="J51" s="51">
        <f>IFERROR(G51-H51,0)</f>
        <v/>
      </c>
      <c r="K51" s="52" t="n"/>
      <c r="L51" s="49">
        <f>IF(A51="","",IF(J51&lt;=0,"Paid",IF(AND(K51&lt;TODAY(),K51&lt;&gt;""),"Overdue","Open")))</f>
        <v/>
      </c>
      <c r="M51" s="49" t="n"/>
    </row>
    <row r="52">
      <c r="A52" s="52" t="n"/>
      <c r="B52" s="49" t="n"/>
      <c r="C52" s="49" t="n"/>
      <c r="D52" s="49" t="n"/>
      <c r="E52" s="49">
        <f>IFERROR(VLOOKUP(D52,'Stock Master'!$A$2:$L$49,2,FALSE),"")</f>
        <v/>
      </c>
      <c r="F52" s="49" t="n"/>
      <c r="G52" s="51">
        <f>IFERROR(VLOOKUP(D52,'Stock Master'!$A$2:$L$49,5,FALSE)*F52,0)</f>
        <v/>
      </c>
      <c r="H52" s="51" t="n"/>
      <c r="I52" s="52" t="n"/>
      <c r="J52" s="51">
        <f>IFERROR(G52-H52,0)</f>
        <v/>
      </c>
      <c r="K52" s="52" t="n"/>
      <c r="L52" s="49">
        <f>IF(A52="","",IF(J52&lt;=0,"Paid",IF(AND(K52&lt;TODAY(),K52&lt;&gt;""),"Overdue","Open")))</f>
        <v/>
      </c>
      <c r="M52" s="49" t="n"/>
    </row>
    <row r="53">
      <c r="A53" s="52" t="n"/>
      <c r="B53" s="49" t="n"/>
      <c r="C53" s="49" t="n"/>
      <c r="D53" s="49" t="n"/>
      <c r="E53" s="49">
        <f>IFERROR(VLOOKUP(D53,'Stock Master'!$A$2:$L$49,2,FALSE),"")</f>
        <v/>
      </c>
      <c r="F53" s="49" t="n"/>
      <c r="G53" s="51">
        <f>IFERROR(VLOOKUP(D53,'Stock Master'!$A$2:$L$49,5,FALSE)*F53,0)</f>
        <v/>
      </c>
      <c r="H53" s="51" t="n"/>
      <c r="I53" s="52" t="n"/>
      <c r="J53" s="51">
        <f>IFERROR(G53-H53,0)</f>
        <v/>
      </c>
      <c r="K53" s="52" t="n"/>
      <c r="L53" s="49">
        <f>IF(A53="","",IF(J53&lt;=0,"Paid",IF(AND(K53&lt;TODAY(),K53&lt;&gt;""),"Overdue","Open")))</f>
        <v/>
      </c>
      <c r="M53" s="49" t="n"/>
    </row>
    <row r="54">
      <c r="A54" s="52" t="n"/>
      <c r="B54" s="49" t="n"/>
      <c r="C54" s="49" t="n"/>
      <c r="D54" s="49" t="n"/>
      <c r="E54" s="49">
        <f>IFERROR(VLOOKUP(D54,'Stock Master'!$A$2:$L$49,2,FALSE),"")</f>
        <v/>
      </c>
      <c r="F54" s="49" t="n"/>
      <c r="G54" s="51">
        <f>IFERROR(VLOOKUP(D54,'Stock Master'!$A$2:$L$49,5,FALSE)*F54,0)</f>
        <v/>
      </c>
      <c r="H54" s="51" t="n"/>
      <c r="I54" s="52" t="n"/>
      <c r="J54" s="51">
        <f>IFERROR(G54-H54,0)</f>
        <v/>
      </c>
      <c r="K54" s="52" t="n"/>
      <c r="L54" s="49">
        <f>IF(A54="","",IF(J54&lt;=0,"Paid",IF(AND(K54&lt;TODAY(),K54&lt;&gt;""),"Overdue","Open")))</f>
        <v/>
      </c>
      <c r="M54" s="49" t="n"/>
    </row>
    <row r="55">
      <c r="A55" s="52" t="n"/>
      <c r="B55" s="49" t="n"/>
      <c r="C55" s="49" t="n"/>
      <c r="D55" s="49" t="n"/>
      <c r="E55" s="49">
        <f>IFERROR(VLOOKUP(D55,'Stock Master'!$A$2:$L$49,2,FALSE),"")</f>
        <v/>
      </c>
      <c r="F55" s="49" t="n"/>
      <c r="G55" s="51">
        <f>IFERROR(VLOOKUP(D55,'Stock Master'!$A$2:$L$49,5,FALSE)*F55,0)</f>
        <v/>
      </c>
      <c r="H55" s="51" t="n"/>
      <c r="I55" s="52" t="n"/>
      <c r="J55" s="51">
        <f>IFERROR(G55-H55,0)</f>
        <v/>
      </c>
      <c r="K55" s="52" t="n"/>
      <c r="L55" s="49">
        <f>IF(A55="","",IF(J55&lt;=0,"Paid",IF(AND(K55&lt;TODAY(),K55&lt;&gt;""),"Overdue","Open")))</f>
        <v/>
      </c>
      <c r="M55" s="49" t="n"/>
    </row>
    <row r="56">
      <c r="A56" s="52" t="n"/>
      <c r="B56" s="49" t="n"/>
      <c r="C56" s="49" t="n"/>
      <c r="D56" s="49" t="n"/>
      <c r="E56" s="49">
        <f>IFERROR(VLOOKUP(D56,'Stock Master'!$A$2:$L$49,2,FALSE),"")</f>
        <v/>
      </c>
      <c r="F56" s="49" t="n"/>
      <c r="G56" s="51">
        <f>IFERROR(VLOOKUP(D56,'Stock Master'!$A$2:$L$49,5,FALSE)*F56,0)</f>
        <v/>
      </c>
      <c r="H56" s="51" t="n"/>
      <c r="I56" s="52" t="n"/>
      <c r="J56" s="51">
        <f>IFERROR(G56-H56,0)</f>
        <v/>
      </c>
      <c r="K56" s="52" t="n"/>
      <c r="L56" s="49">
        <f>IF(A56="","",IF(J56&lt;=0,"Paid",IF(AND(K56&lt;TODAY(),K56&lt;&gt;""),"Overdue","Open")))</f>
        <v/>
      </c>
      <c r="M56" s="49" t="n"/>
    </row>
    <row r="57">
      <c r="A57" s="52" t="n"/>
      <c r="B57" s="49" t="n"/>
      <c r="C57" s="49" t="n"/>
      <c r="D57" s="49" t="n"/>
      <c r="E57" s="49">
        <f>IFERROR(VLOOKUP(D57,'Stock Master'!$A$2:$L$49,2,FALSE),"")</f>
        <v/>
      </c>
      <c r="F57" s="49" t="n"/>
      <c r="G57" s="51">
        <f>IFERROR(VLOOKUP(D57,'Stock Master'!$A$2:$L$49,5,FALSE)*F57,0)</f>
        <v/>
      </c>
      <c r="H57" s="51" t="n"/>
      <c r="I57" s="52" t="n"/>
      <c r="J57" s="51">
        <f>IFERROR(G57-H57,0)</f>
        <v/>
      </c>
      <c r="K57" s="52" t="n"/>
      <c r="L57" s="49">
        <f>IF(A57="","",IF(J57&lt;=0,"Paid",IF(AND(K57&lt;TODAY(),K57&lt;&gt;""),"Overdue","Open")))</f>
        <v/>
      </c>
      <c r="M57" s="49" t="n"/>
    </row>
    <row r="58">
      <c r="A58" s="52" t="n"/>
      <c r="B58" s="49" t="n"/>
      <c r="C58" s="49" t="n"/>
      <c r="D58" s="49" t="n"/>
      <c r="E58" s="49">
        <f>IFERROR(VLOOKUP(D58,'Stock Master'!$A$2:$L$49,2,FALSE),"")</f>
        <v/>
      </c>
      <c r="F58" s="49" t="n"/>
      <c r="G58" s="51">
        <f>IFERROR(VLOOKUP(D58,'Stock Master'!$A$2:$L$49,5,FALSE)*F58,0)</f>
        <v/>
      </c>
      <c r="H58" s="51" t="n"/>
      <c r="I58" s="52" t="n"/>
      <c r="J58" s="51">
        <f>IFERROR(G58-H58,0)</f>
        <v/>
      </c>
      <c r="K58" s="52" t="n"/>
      <c r="L58" s="49">
        <f>IF(A58="","",IF(J58&lt;=0,"Paid",IF(AND(K58&lt;TODAY(),K58&lt;&gt;""),"Overdue","Open")))</f>
        <v/>
      </c>
      <c r="M58" s="49" t="n"/>
    </row>
    <row r="59">
      <c r="A59" s="52" t="n"/>
      <c r="B59" s="49" t="n"/>
      <c r="C59" s="49" t="n"/>
      <c r="D59" s="49" t="n"/>
      <c r="E59" s="49">
        <f>IFERROR(VLOOKUP(D59,'Stock Master'!$A$2:$L$49,2,FALSE),"")</f>
        <v/>
      </c>
      <c r="F59" s="49" t="n"/>
      <c r="G59" s="51">
        <f>IFERROR(VLOOKUP(D59,'Stock Master'!$A$2:$L$49,5,FALSE)*F59,0)</f>
        <v/>
      </c>
      <c r="H59" s="51" t="n"/>
      <c r="I59" s="52" t="n"/>
      <c r="J59" s="51">
        <f>IFERROR(G59-H59,0)</f>
        <v/>
      </c>
      <c r="K59" s="52" t="n"/>
      <c r="L59" s="49">
        <f>IF(A59="","",IF(J59&lt;=0,"Paid",IF(AND(K59&lt;TODAY(),K59&lt;&gt;""),"Overdue","Open")))</f>
        <v/>
      </c>
      <c r="M59" s="49" t="n"/>
    </row>
    <row r="60">
      <c r="A60" s="52" t="n"/>
      <c r="B60" s="49" t="n"/>
      <c r="C60" s="49" t="n"/>
      <c r="D60" s="49" t="n"/>
      <c r="E60" s="49">
        <f>IFERROR(VLOOKUP(D60,'Stock Master'!$A$2:$L$49,2,FALSE),"")</f>
        <v/>
      </c>
      <c r="F60" s="49" t="n"/>
      <c r="G60" s="51">
        <f>IFERROR(VLOOKUP(D60,'Stock Master'!$A$2:$L$49,5,FALSE)*F60,0)</f>
        <v/>
      </c>
      <c r="H60" s="51" t="n"/>
      <c r="I60" s="52" t="n"/>
      <c r="J60" s="51">
        <f>IFERROR(G60-H60,0)</f>
        <v/>
      </c>
      <c r="K60" s="52" t="n"/>
      <c r="L60" s="49">
        <f>IF(A60="","",IF(J60&lt;=0,"Paid",IF(AND(K60&lt;TODAY(),K60&lt;&gt;""),"Overdue","Open")))</f>
        <v/>
      </c>
      <c r="M60" s="49" t="n"/>
    </row>
    <row r="61">
      <c r="A61" s="52" t="n"/>
      <c r="B61" s="49" t="n"/>
      <c r="C61" s="49" t="n"/>
      <c r="D61" s="49" t="n"/>
      <c r="E61" s="49">
        <f>IFERROR(VLOOKUP(D61,'Stock Master'!$A$2:$L$49,2,FALSE),"")</f>
        <v/>
      </c>
      <c r="F61" s="49" t="n"/>
      <c r="G61" s="51">
        <f>IFERROR(VLOOKUP(D61,'Stock Master'!$A$2:$L$49,5,FALSE)*F61,0)</f>
        <v/>
      </c>
      <c r="H61" s="51" t="n"/>
      <c r="I61" s="52" t="n"/>
      <c r="J61" s="51">
        <f>IFERROR(G61-H61,0)</f>
        <v/>
      </c>
      <c r="K61" s="52" t="n"/>
      <c r="L61" s="49">
        <f>IF(A61="","",IF(J61&lt;=0,"Paid",IF(AND(K61&lt;TODAY(),K61&lt;&gt;""),"Overdue","Open")))</f>
        <v/>
      </c>
      <c r="M61" s="49" t="n"/>
    </row>
    <row r="62">
      <c r="A62" s="52" t="n"/>
      <c r="B62" s="49" t="n"/>
      <c r="C62" s="49" t="n"/>
      <c r="D62" s="49" t="n"/>
      <c r="E62" s="49">
        <f>IFERROR(VLOOKUP(D62,'Stock Master'!$A$2:$L$49,2,FALSE),"")</f>
        <v/>
      </c>
      <c r="F62" s="49" t="n"/>
      <c r="G62" s="51">
        <f>IFERROR(VLOOKUP(D62,'Stock Master'!$A$2:$L$49,5,FALSE)*F62,0)</f>
        <v/>
      </c>
      <c r="H62" s="51" t="n"/>
      <c r="I62" s="52" t="n"/>
      <c r="J62" s="51">
        <f>IFERROR(G62-H62,0)</f>
        <v/>
      </c>
      <c r="K62" s="52" t="n"/>
      <c r="L62" s="49">
        <f>IF(A62="","",IF(J62&lt;=0,"Paid",IF(AND(K62&lt;TODAY(),K62&lt;&gt;""),"Overdue","Open")))</f>
        <v/>
      </c>
      <c r="M62" s="49" t="n"/>
    </row>
    <row r="63">
      <c r="A63" s="52" t="n"/>
      <c r="B63" s="49" t="n"/>
      <c r="C63" s="49" t="n"/>
      <c r="D63" s="49" t="n"/>
      <c r="E63" s="49">
        <f>IFERROR(VLOOKUP(D63,'Stock Master'!$A$2:$L$49,2,FALSE),"")</f>
        <v/>
      </c>
      <c r="F63" s="49" t="n"/>
      <c r="G63" s="51">
        <f>IFERROR(VLOOKUP(D63,'Stock Master'!$A$2:$L$49,5,FALSE)*F63,0)</f>
        <v/>
      </c>
      <c r="H63" s="51" t="n"/>
      <c r="I63" s="52" t="n"/>
      <c r="J63" s="51">
        <f>IFERROR(G63-H63,0)</f>
        <v/>
      </c>
      <c r="K63" s="52" t="n"/>
      <c r="L63" s="49">
        <f>IF(A63="","",IF(J63&lt;=0,"Paid",IF(AND(K63&lt;TODAY(),K63&lt;&gt;""),"Overdue","Open")))</f>
        <v/>
      </c>
      <c r="M63" s="49" t="n"/>
    </row>
    <row r="64">
      <c r="A64" s="52" t="n"/>
      <c r="B64" s="49" t="n"/>
      <c r="C64" s="49" t="n"/>
      <c r="D64" s="49" t="n"/>
      <c r="E64" s="49">
        <f>IFERROR(VLOOKUP(D64,'Stock Master'!$A$2:$L$49,2,FALSE),"")</f>
        <v/>
      </c>
      <c r="F64" s="49" t="n"/>
      <c r="G64" s="51">
        <f>IFERROR(VLOOKUP(D64,'Stock Master'!$A$2:$L$49,5,FALSE)*F64,0)</f>
        <v/>
      </c>
      <c r="H64" s="51" t="n"/>
      <c r="I64" s="52" t="n"/>
      <c r="J64" s="51">
        <f>IFERROR(G64-H64,0)</f>
        <v/>
      </c>
      <c r="K64" s="52" t="n"/>
      <c r="L64" s="49">
        <f>IF(A64="","",IF(J64&lt;=0,"Paid",IF(AND(K64&lt;TODAY(),K64&lt;&gt;""),"Overdue","Open")))</f>
        <v/>
      </c>
      <c r="M64" s="49" t="n"/>
    </row>
    <row r="65">
      <c r="A65" s="52" t="n"/>
      <c r="B65" s="49" t="n"/>
      <c r="C65" s="49" t="n"/>
      <c r="D65" s="49" t="n"/>
      <c r="E65" s="49">
        <f>IFERROR(VLOOKUP(D65,'Stock Master'!$A$2:$L$49,2,FALSE),"")</f>
        <v/>
      </c>
      <c r="F65" s="49" t="n"/>
      <c r="G65" s="51">
        <f>IFERROR(VLOOKUP(D65,'Stock Master'!$A$2:$L$49,5,FALSE)*F65,0)</f>
        <v/>
      </c>
      <c r="H65" s="51" t="n"/>
      <c r="I65" s="52" t="n"/>
      <c r="J65" s="51">
        <f>IFERROR(G65-H65,0)</f>
        <v/>
      </c>
      <c r="K65" s="52" t="n"/>
      <c r="L65" s="49">
        <f>IF(A65="","",IF(J65&lt;=0,"Paid",IF(AND(K65&lt;TODAY(),K65&lt;&gt;""),"Overdue","Open")))</f>
        <v/>
      </c>
      <c r="M65" s="49" t="n"/>
    </row>
    <row r="66">
      <c r="A66" s="52" t="n"/>
      <c r="B66" s="49" t="n"/>
      <c r="C66" s="49" t="n"/>
      <c r="D66" s="49" t="n"/>
      <c r="E66" s="49">
        <f>IFERROR(VLOOKUP(D66,'Stock Master'!$A$2:$L$49,2,FALSE),"")</f>
        <v/>
      </c>
      <c r="F66" s="49" t="n"/>
      <c r="G66" s="51">
        <f>IFERROR(VLOOKUP(D66,'Stock Master'!$A$2:$L$49,5,FALSE)*F66,0)</f>
        <v/>
      </c>
      <c r="H66" s="51" t="n"/>
      <c r="I66" s="52" t="n"/>
      <c r="J66" s="51">
        <f>IFERROR(G66-H66,0)</f>
        <v/>
      </c>
      <c r="K66" s="52" t="n"/>
      <c r="L66" s="49">
        <f>IF(A66="","",IF(J66&lt;=0,"Paid",IF(AND(K66&lt;TODAY(),K66&lt;&gt;""),"Overdue","Open")))</f>
        <v/>
      </c>
      <c r="M66" s="49" t="n"/>
    </row>
    <row r="67">
      <c r="A67" s="52" t="n"/>
      <c r="B67" s="49" t="n"/>
      <c r="C67" s="49" t="n"/>
      <c r="D67" s="49" t="n"/>
      <c r="E67" s="49">
        <f>IFERROR(VLOOKUP(D67,'Stock Master'!$A$2:$L$49,2,FALSE),"")</f>
        <v/>
      </c>
      <c r="F67" s="49" t="n"/>
      <c r="G67" s="51">
        <f>IFERROR(VLOOKUP(D67,'Stock Master'!$A$2:$L$49,5,FALSE)*F67,0)</f>
        <v/>
      </c>
      <c r="H67" s="51" t="n"/>
      <c r="I67" s="52" t="n"/>
      <c r="J67" s="51">
        <f>IFERROR(G67-H67,0)</f>
        <v/>
      </c>
      <c r="K67" s="52" t="n"/>
      <c r="L67" s="49">
        <f>IF(A67="","",IF(J67&lt;=0,"Paid",IF(AND(K67&lt;TODAY(),K67&lt;&gt;""),"Overdue","Open")))</f>
        <v/>
      </c>
      <c r="M67" s="49" t="n"/>
    </row>
    <row r="68">
      <c r="A68" s="52" t="n"/>
      <c r="B68" s="49" t="n"/>
      <c r="C68" s="49" t="n"/>
      <c r="D68" s="49" t="n"/>
      <c r="E68" s="49">
        <f>IFERROR(VLOOKUP(D68,'Stock Master'!$A$2:$L$49,2,FALSE),"")</f>
        <v/>
      </c>
      <c r="F68" s="49" t="n"/>
      <c r="G68" s="51">
        <f>IFERROR(VLOOKUP(D68,'Stock Master'!$A$2:$L$49,5,FALSE)*F68,0)</f>
        <v/>
      </c>
      <c r="H68" s="51" t="n"/>
      <c r="I68" s="52" t="n"/>
      <c r="J68" s="51">
        <f>IFERROR(G68-H68,0)</f>
        <v/>
      </c>
      <c r="K68" s="52" t="n"/>
      <c r="L68" s="49">
        <f>IF(A68="","",IF(J68&lt;=0,"Paid",IF(AND(K68&lt;TODAY(),K68&lt;&gt;""),"Overdue","Open")))</f>
        <v/>
      </c>
      <c r="M68" s="49" t="n"/>
    </row>
    <row r="69">
      <c r="A69" s="52" t="n"/>
      <c r="B69" s="49" t="n"/>
      <c r="C69" s="49" t="n"/>
      <c r="D69" s="49" t="n"/>
      <c r="E69" s="49">
        <f>IFERROR(VLOOKUP(D69,'Stock Master'!$A$2:$L$49,2,FALSE),"")</f>
        <v/>
      </c>
      <c r="F69" s="49" t="n"/>
      <c r="G69" s="51">
        <f>IFERROR(VLOOKUP(D69,'Stock Master'!$A$2:$L$49,5,FALSE)*F69,0)</f>
        <v/>
      </c>
      <c r="H69" s="51" t="n"/>
      <c r="I69" s="52" t="n"/>
      <c r="J69" s="51">
        <f>IFERROR(G69-H69,0)</f>
        <v/>
      </c>
      <c r="K69" s="52" t="n"/>
      <c r="L69" s="49">
        <f>IF(A69="","",IF(J69&lt;=0,"Paid",IF(AND(K69&lt;TODAY(),K69&lt;&gt;""),"Overdue","Open")))</f>
        <v/>
      </c>
      <c r="M69" s="49" t="n"/>
    </row>
    <row r="70">
      <c r="A70" s="52" t="n"/>
      <c r="B70" s="49" t="n"/>
      <c r="C70" s="49" t="n"/>
      <c r="D70" s="49" t="n"/>
      <c r="E70" s="49">
        <f>IFERROR(VLOOKUP(D70,'Stock Master'!$A$2:$L$49,2,FALSE),"")</f>
        <v/>
      </c>
      <c r="F70" s="49" t="n"/>
      <c r="G70" s="51">
        <f>IFERROR(VLOOKUP(D70,'Stock Master'!$A$2:$L$49,5,FALSE)*F70,0)</f>
        <v/>
      </c>
      <c r="H70" s="51" t="n"/>
      <c r="I70" s="52" t="n"/>
      <c r="J70" s="51">
        <f>IFERROR(G70-H70,0)</f>
        <v/>
      </c>
      <c r="K70" s="52" t="n"/>
      <c r="L70" s="49">
        <f>IF(A70="","",IF(J70&lt;=0,"Paid",IF(AND(K70&lt;TODAY(),K70&lt;&gt;""),"Overdue","Open")))</f>
        <v/>
      </c>
      <c r="M70" s="49" t="n"/>
    </row>
    <row r="71">
      <c r="A71" s="52" t="n"/>
      <c r="B71" s="49" t="n"/>
      <c r="C71" s="49" t="n"/>
      <c r="D71" s="49" t="n"/>
      <c r="E71" s="49">
        <f>IFERROR(VLOOKUP(D71,'Stock Master'!$A$2:$L$49,2,FALSE),"")</f>
        <v/>
      </c>
      <c r="F71" s="49" t="n"/>
      <c r="G71" s="51">
        <f>IFERROR(VLOOKUP(D71,'Stock Master'!$A$2:$L$49,5,FALSE)*F71,0)</f>
        <v/>
      </c>
      <c r="H71" s="51" t="n"/>
      <c r="I71" s="52" t="n"/>
      <c r="J71" s="51">
        <f>IFERROR(G71-H71,0)</f>
        <v/>
      </c>
      <c r="K71" s="52" t="n"/>
      <c r="L71" s="49">
        <f>IF(A71="","",IF(J71&lt;=0,"Paid",IF(AND(K71&lt;TODAY(),K71&lt;&gt;""),"Overdue","Open")))</f>
        <v/>
      </c>
      <c r="M71" s="49" t="n"/>
    </row>
    <row r="72">
      <c r="A72" s="52" t="n"/>
      <c r="B72" s="49" t="n"/>
      <c r="C72" s="49" t="n"/>
      <c r="D72" s="49" t="n"/>
      <c r="E72" s="49">
        <f>IFERROR(VLOOKUP(D72,'Stock Master'!$A$2:$L$49,2,FALSE),"")</f>
        <v/>
      </c>
      <c r="F72" s="49" t="n"/>
      <c r="G72" s="51">
        <f>IFERROR(VLOOKUP(D72,'Stock Master'!$A$2:$L$49,5,FALSE)*F72,0)</f>
        <v/>
      </c>
      <c r="H72" s="51" t="n"/>
      <c r="I72" s="52" t="n"/>
      <c r="J72" s="51">
        <f>IFERROR(G72-H72,0)</f>
        <v/>
      </c>
      <c r="K72" s="52" t="n"/>
      <c r="L72" s="49">
        <f>IF(A72="","",IF(J72&lt;=0,"Paid",IF(AND(K72&lt;TODAY(),K72&lt;&gt;""),"Overdue","Open")))</f>
        <v/>
      </c>
      <c r="M72" s="49" t="n"/>
    </row>
    <row r="73">
      <c r="A73" s="52" t="n"/>
      <c r="B73" s="49" t="n"/>
      <c r="C73" s="49" t="n"/>
      <c r="D73" s="49" t="n"/>
      <c r="E73" s="49">
        <f>IFERROR(VLOOKUP(D73,'Stock Master'!$A$2:$L$49,2,FALSE),"")</f>
        <v/>
      </c>
      <c r="F73" s="49" t="n"/>
      <c r="G73" s="51">
        <f>IFERROR(VLOOKUP(D73,'Stock Master'!$A$2:$L$49,5,FALSE)*F73,0)</f>
        <v/>
      </c>
      <c r="H73" s="51" t="n"/>
      <c r="I73" s="52" t="n"/>
      <c r="J73" s="51">
        <f>IFERROR(G73-H73,0)</f>
        <v/>
      </c>
      <c r="K73" s="52" t="n"/>
      <c r="L73" s="49">
        <f>IF(A73="","",IF(J73&lt;=0,"Paid",IF(AND(K73&lt;TODAY(),K73&lt;&gt;""),"Overdue","Open")))</f>
        <v/>
      </c>
      <c r="M73" s="49" t="n"/>
    </row>
    <row r="74">
      <c r="A74" s="52" t="n"/>
      <c r="B74" s="49" t="n"/>
      <c r="C74" s="49" t="n"/>
      <c r="D74" s="49" t="n"/>
      <c r="E74" s="49">
        <f>IFERROR(VLOOKUP(D74,'Stock Master'!$A$2:$L$49,2,FALSE),"")</f>
        <v/>
      </c>
      <c r="F74" s="49" t="n"/>
      <c r="G74" s="51">
        <f>IFERROR(VLOOKUP(D74,'Stock Master'!$A$2:$L$49,5,FALSE)*F74,0)</f>
        <v/>
      </c>
      <c r="H74" s="51" t="n"/>
      <c r="I74" s="52" t="n"/>
      <c r="J74" s="51">
        <f>IFERROR(G74-H74,0)</f>
        <v/>
      </c>
      <c r="K74" s="52" t="n"/>
      <c r="L74" s="49">
        <f>IF(A74="","",IF(J74&lt;=0,"Paid",IF(AND(K74&lt;TODAY(),K74&lt;&gt;""),"Overdue","Open")))</f>
        <v/>
      </c>
      <c r="M74" s="49" t="n"/>
    </row>
    <row r="75">
      <c r="A75" s="52" t="n"/>
      <c r="B75" s="49" t="n"/>
      <c r="C75" s="49" t="n"/>
      <c r="D75" s="49" t="n"/>
      <c r="E75" s="49">
        <f>IFERROR(VLOOKUP(D75,'Stock Master'!$A$2:$L$49,2,FALSE),"")</f>
        <v/>
      </c>
      <c r="F75" s="49" t="n"/>
      <c r="G75" s="51">
        <f>IFERROR(VLOOKUP(D75,'Stock Master'!$A$2:$L$49,5,FALSE)*F75,0)</f>
        <v/>
      </c>
      <c r="H75" s="51" t="n"/>
      <c r="I75" s="52" t="n"/>
      <c r="J75" s="51">
        <f>IFERROR(G75-H75,0)</f>
        <v/>
      </c>
      <c r="K75" s="52" t="n"/>
      <c r="L75" s="49">
        <f>IF(A75="","",IF(J75&lt;=0,"Paid",IF(AND(K75&lt;TODAY(),K75&lt;&gt;""),"Overdue","Open")))</f>
        <v/>
      </c>
      <c r="M75" s="49" t="n"/>
    </row>
    <row r="76">
      <c r="A76" s="52" t="n"/>
      <c r="B76" s="49" t="n"/>
      <c r="C76" s="49" t="n"/>
      <c r="D76" s="49" t="n"/>
      <c r="E76" s="49">
        <f>IFERROR(VLOOKUP(D76,'Stock Master'!$A$2:$L$49,2,FALSE),"")</f>
        <v/>
      </c>
      <c r="F76" s="49" t="n"/>
      <c r="G76" s="51">
        <f>IFERROR(VLOOKUP(D76,'Stock Master'!$A$2:$L$49,5,FALSE)*F76,0)</f>
        <v/>
      </c>
      <c r="H76" s="51" t="n"/>
      <c r="I76" s="52" t="n"/>
      <c r="J76" s="51">
        <f>IFERROR(G76-H76,0)</f>
        <v/>
      </c>
      <c r="K76" s="52" t="n"/>
      <c r="L76" s="49">
        <f>IF(A76="","",IF(J76&lt;=0,"Paid",IF(AND(K76&lt;TODAY(),K76&lt;&gt;""),"Overdue","Open")))</f>
        <v/>
      </c>
      <c r="M76" s="49" t="n"/>
    </row>
    <row r="77">
      <c r="A77" s="52" t="n"/>
      <c r="B77" s="49" t="n"/>
      <c r="C77" s="49" t="n"/>
      <c r="D77" s="49" t="n"/>
      <c r="E77" s="49">
        <f>IFERROR(VLOOKUP(D77,'Stock Master'!$A$2:$L$49,2,FALSE),"")</f>
        <v/>
      </c>
      <c r="F77" s="49" t="n"/>
      <c r="G77" s="51">
        <f>IFERROR(VLOOKUP(D77,'Stock Master'!$A$2:$L$49,5,FALSE)*F77,0)</f>
        <v/>
      </c>
      <c r="H77" s="51" t="n"/>
      <c r="I77" s="52" t="n"/>
      <c r="J77" s="51">
        <f>IFERROR(G77-H77,0)</f>
        <v/>
      </c>
      <c r="K77" s="52" t="n"/>
      <c r="L77" s="49">
        <f>IF(A77="","",IF(J77&lt;=0,"Paid",IF(AND(K77&lt;TODAY(),K77&lt;&gt;""),"Overdue","Open")))</f>
        <v/>
      </c>
      <c r="M77" s="49" t="n"/>
    </row>
    <row r="78">
      <c r="A78" s="52" t="n"/>
      <c r="B78" s="49" t="n"/>
      <c r="C78" s="49" t="n"/>
      <c r="D78" s="49" t="n"/>
      <c r="E78" s="49">
        <f>IFERROR(VLOOKUP(D78,'Stock Master'!$A$2:$L$49,2,FALSE),"")</f>
        <v/>
      </c>
      <c r="F78" s="49" t="n"/>
      <c r="G78" s="51">
        <f>IFERROR(VLOOKUP(D78,'Stock Master'!$A$2:$L$49,5,FALSE)*F78,0)</f>
        <v/>
      </c>
      <c r="H78" s="51" t="n"/>
      <c r="I78" s="52" t="n"/>
      <c r="J78" s="51">
        <f>IFERROR(G78-H78,0)</f>
        <v/>
      </c>
      <c r="K78" s="52" t="n"/>
      <c r="L78" s="49">
        <f>IF(A78="","",IF(J78&lt;=0,"Paid",IF(AND(K78&lt;TODAY(),K78&lt;&gt;""),"Overdue","Open")))</f>
        <v/>
      </c>
      <c r="M78" s="49" t="n"/>
    </row>
    <row r="79">
      <c r="A79" s="52" t="n"/>
      <c r="B79" s="49" t="n"/>
      <c r="C79" s="49" t="n"/>
      <c r="D79" s="49" t="n"/>
      <c r="E79" s="49">
        <f>IFERROR(VLOOKUP(D79,'Stock Master'!$A$2:$L$49,2,FALSE),"")</f>
        <v/>
      </c>
      <c r="F79" s="49" t="n"/>
      <c r="G79" s="51">
        <f>IFERROR(VLOOKUP(D79,'Stock Master'!$A$2:$L$49,5,FALSE)*F79,0)</f>
        <v/>
      </c>
      <c r="H79" s="51" t="n"/>
      <c r="I79" s="52" t="n"/>
      <c r="J79" s="51">
        <f>IFERROR(G79-H79,0)</f>
        <v/>
      </c>
      <c r="K79" s="52" t="n"/>
      <c r="L79" s="49">
        <f>IF(A79="","",IF(J79&lt;=0,"Paid",IF(AND(K79&lt;TODAY(),K79&lt;&gt;""),"Overdue","Open")))</f>
        <v/>
      </c>
      <c r="M79" s="49" t="n"/>
    </row>
    <row r="80">
      <c r="A80" s="52" t="n"/>
      <c r="B80" s="49" t="n"/>
      <c r="C80" s="49" t="n"/>
      <c r="D80" s="49" t="n"/>
      <c r="E80" s="49">
        <f>IFERROR(VLOOKUP(D80,'Stock Master'!$A$2:$L$49,2,FALSE),"")</f>
        <v/>
      </c>
      <c r="F80" s="49" t="n"/>
      <c r="G80" s="51">
        <f>IFERROR(VLOOKUP(D80,'Stock Master'!$A$2:$L$49,5,FALSE)*F80,0)</f>
        <v/>
      </c>
      <c r="H80" s="51" t="n"/>
      <c r="I80" s="52" t="n"/>
      <c r="J80" s="51">
        <f>IFERROR(G80-H80,0)</f>
        <v/>
      </c>
      <c r="K80" s="52" t="n"/>
      <c r="L80" s="49">
        <f>IF(A80="","",IF(J80&lt;=0,"Paid",IF(AND(K80&lt;TODAY(),K80&lt;&gt;""),"Overdue","Open")))</f>
        <v/>
      </c>
      <c r="M80" s="49" t="n"/>
    </row>
    <row r="81">
      <c r="A81" s="52" t="n"/>
      <c r="B81" s="49" t="n"/>
      <c r="C81" s="49" t="n"/>
      <c r="D81" s="49" t="n"/>
      <c r="E81" s="49">
        <f>IFERROR(VLOOKUP(D81,'Stock Master'!$A$2:$L$49,2,FALSE),"")</f>
        <v/>
      </c>
      <c r="F81" s="49" t="n"/>
      <c r="G81" s="51">
        <f>IFERROR(VLOOKUP(D81,'Stock Master'!$A$2:$L$49,5,FALSE)*F81,0)</f>
        <v/>
      </c>
      <c r="H81" s="51" t="n"/>
      <c r="I81" s="52" t="n"/>
      <c r="J81" s="51">
        <f>IFERROR(G81-H81,0)</f>
        <v/>
      </c>
      <c r="K81" s="52" t="n"/>
      <c r="L81" s="49">
        <f>IF(A81="","",IF(J81&lt;=0,"Paid",IF(AND(K81&lt;TODAY(),K81&lt;&gt;""),"Overdue","Open")))</f>
        <v/>
      </c>
      <c r="M81" s="49" t="n"/>
    </row>
    <row r="82">
      <c r="A82" s="52" t="n"/>
      <c r="B82" s="49" t="n"/>
      <c r="C82" s="49" t="n"/>
      <c r="D82" s="49" t="n"/>
      <c r="E82" s="49">
        <f>IFERROR(VLOOKUP(D82,'Stock Master'!$A$2:$L$49,2,FALSE),"")</f>
        <v/>
      </c>
      <c r="F82" s="49" t="n"/>
      <c r="G82" s="51">
        <f>IFERROR(VLOOKUP(D82,'Stock Master'!$A$2:$L$49,5,FALSE)*F82,0)</f>
        <v/>
      </c>
      <c r="H82" s="51" t="n"/>
      <c r="I82" s="52" t="n"/>
      <c r="J82" s="51">
        <f>IFERROR(G82-H82,0)</f>
        <v/>
      </c>
      <c r="K82" s="52" t="n"/>
      <c r="L82" s="49">
        <f>IF(A82="","",IF(J82&lt;=0,"Paid",IF(AND(K82&lt;TODAY(),K82&lt;&gt;""),"Overdue","Open")))</f>
        <v/>
      </c>
      <c r="M82" s="49" t="n"/>
    </row>
    <row r="83">
      <c r="A83" s="52" t="n"/>
      <c r="B83" s="49" t="n"/>
      <c r="C83" s="49" t="n"/>
      <c r="D83" s="49" t="n"/>
      <c r="E83" s="49">
        <f>IFERROR(VLOOKUP(D83,'Stock Master'!$A$2:$L$49,2,FALSE),"")</f>
        <v/>
      </c>
      <c r="F83" s="49" t="n"/>
      <c r="G83" s="51">
        <f>IFERROR(VLOOKUP(D83,'Stock Master'!$A$2:$L$49,5,FALSE)*F83,0)</f>
        <v/>
      </c>
      <c r="H83" s="51" t="n"/>
      <c r="I83" s="52" t="n"/>
      <c r="J83" s="51">
        <f>IFERROR(G83-H83,0)</f>
        <v/>
      </c>
      <c r="K83" s="52" t="n"/>
      <c r="L83" s="49">
        <f>IF(A83="","",IF(J83&lt;=0,"Paid",IF(AND(K83&lt;TODAY(),K83&lt;&gt;""),"Overdue","Open")))</f>
        <v/>
      </c>
      <c r="M83" s="49" t="n"/>
    </row>
    <row r="84">
      <c r="A84" s="52" t="n"/>
      <c r="B84" s="49" t="n"/>
      <c r="C84" s="49" t="n"/>
      <c r="D84" s="49" t="n"/>
      <c r="E84" s="49">
        <f>IFERROR(VLOOKUP(D84,'Stock Master'!$A$2:$L$49,2,FALSE),"")</f>
        <v/>
      </c>
      <c r="F84" s="49" t="n"/>
      <c r="G84" s="51">
        <f>IFERROR(VLOOKUP(D84,'Stock Master'!$A$2:$L$49,5,FALSE)*F84,0)</f>
        <v/>
      </c>
      <c r="H84" s="51" t="n"/>
      <c r="I84" s="52" t="n"/>
      <c r="J84" s="51">
        <f>IFERROR(G84-H84,0)</f>
        <v/>
      </c>
      <c r="K84" s="52" t="n"/>
      <c r="L84" s="49">
        <f>IF(A84="","",IF(J84&lt;=0,"Paid",IF(AND(K84&lt;TODAY(),K84&lt;&gt;""),"Overdue","Open")))</f>
        <v/>
      </c>
      <c r="M84" s="49" t="n"/>
    </row>
    <row r="85">
      <c r="A85" s="52" t="n"/>
      <c r="B85" s="49" t="n"/>
      <c r="C85" s="49" t="n"/>
      <c r="D85" s="49" t="n"/>
      <c r="E85" s="49">
        <f>IFERROR(VLOOKUP(D85,'Stock Master'!$A$2:$L$49,2,FALSE),"")</f>
        <v/>
      </c>
      <c r="F85" s="49" t="n"/>
      <c r="G85" s="51">
        <f>IFERROR(VLOOKUP(D85,'Stock Master'!$A$2:$L$49,5,FALSE)*F85,0)</f>
        <v/>
      </c>
      <c r="H85" s="51" t="n"/>
      <c r="I85" s="52" t="n"/>
      <c r="J85" s="51">
        <f>IFERROR(G85-H85,0)</f>
        <v/>
      </c>
      <c r="K85" s="52" t="n"/>
      <c r="L85" s="49">
        <f>IF(A85="","",IF(J85&lt;=0,"Paid",IF(AND(K85&lt;TODAY(),K85&lt;&gt;""),"Overdue","Open")))</f>
        <v/>
      </c>
      <c r="M85" s="49" t="n"/>
    </row>
    <row r="86">
      <c r="A86" s="52" t="n"/>
      <c r="B86" s="49" t="n"/>
      <c r="C86" s="49" t="n"/>
      <c r="D86" s="49" t="n"/>
      <c r="E86" s="49">
        <f>IFERROR(VLOOKUP(D86,'Stock Master'!$A$2:$L$49,2,FALSE),"")</f>
        <v/>
      </c>
      <c r="F86" s="49" t="n"/>
      <c r="G86" s="51">
        <f>IFERROR(VLOOKUP(D86,'Stock Master'!$A$2:$L$49,5,FALSE)*F86,0)</f>
        <v/>
      </c>
      <c r="H86" s="51" t="n"/>
      <c r="I86" s="52" t="n"/>
      <c r="J86" s="51">
        <f>IFERROR(G86-H86,0)</f>
        <v/>
      </c>
      <c r="K86" s="52" t="n"/>
      <c r="L86" s="49">
        <f>IF(A86="","",IF(J86&lt;=0,"Paid",IF(AND(K86&lt;TODAY(),K86&lt;&gt;""),"Overdue","Open")))</f>
        <v/>
      </c>
      <c r="M86" s="49" t="n"/>
    </row>
    <row r="87">
      <c r="A87" s="52" t="n"/>
      <c r="B87" s="49" t="n"/>
      <c r="C87" s="49" t="n"/>
      <c r="D87" s="49" t="n"/>
      <c r="E87" s="49">
        <f>IFERROR(VLOOKUP(D87,'Stock Master'!$A$2:$L$49,2,FALSE),"")</f>
        <v/>
      </c>
      <c r="F87" s="49" t="n"/>
      <c r="G87" s="51">
        <f>IFERROR(VLOOKUP(D87,'Stock Master'!$A$2:$L$49,5,FALSE)*F87,0)</f>
        <v/>
      </c>
      <c r="H87" s="51" t="n"/>
      <c r="I87" s="52" t="n"/>
      <c r="J87" s="51">
        <f>IFERROR(G87-H87,0)</f>
        <v/>
      </c>
      <c r="K87" s="52" t="n"/>
      <c r="L87" s="49">
        <f>IF(A87="","",IF(J87&lt;=0,"Paid",IF(AND(K87&lt;TODAY(),K87&lt;&gt;""),"Overdue","Open")))</f>
        <v/>
      </c>
      <c r="M87" s="49" t="n"/>
    </row>
    <row r="88">
      <c r="A88" s="52" t="n"/>
      <c r="B88" s="49" t="n"/>
      <c r="C88" s="49" t="n"/>
      <c r="D88" s="49" t="n"/>
      <c r="E88" s="49">
        <f>IFERROR(VLOOKUP(D88,'Stock Master'!$A$2:$L$49,2,FALSE),"")</f>
        <v/>
      </c>
      <c r="F88" s="49" t="n"/>
      <c r="G88" s="51">
        <f>IFERROR(VLOOKUP(D88,'Stock Master'!$A$2:$L$49,5,FALSE)*F88,0)</f>
        <v/>
      </c>
      <c r="H88" s="51" t="n"/>
      <c r="I88" s="52" t="n"/>
      <c r="J88" s="51">
        <f>IFERROR(G88-H88,0)</f>
        <v/>
      </c>
      <c r="K88" s="52" t="n"/>
      <c r="L88" s="49">
        <f>IF(A88="","",IF(J88&lt;=0,"Paid",IF(AND(K88&lt;TODAY(),K88&lt;&gt;""),"Overdue","Open")))</f>
        <v/>
      </c>
      <c r="M88" s="49" t="n"/>
    </row>
    <row r="89">
      <c r="A89" s="52" t="n"/>
      <c r="B89" s="49" t="n"/>
      <c r="C89" s="49" t="n"/>
      <c r="D89" s="49" t="n"/>
      <c r="E89" s="49">
        <f>IFERROR(VLOOKUP(D89,'Stock Master'!$A$2:$L$49,2,FALSE),"")</f>
        <v/>
      </c>
      <c r="F89" s="49" t="n"/>
      <c r="G89" s="51">
        <f>IFERROR(VLOOKUP(D89,'Stock Master'!$A$2:$L$49,5,FALSE)*F89,0)</f>
        <v/>
      </c>
      <c r="H89" s="51" t="n"/>
      <c r="I89" s="52" t="n"/>
      <c r="J89" s="51">
        <f>IFERROR(G89-H89,0)</f>
        <v/>
      </c>
      <c r="K89" s="52" t="n"/>
      <c r="L89" s="49">
        <f>IF(A89="","",IF(J89&lt;=0,"Paid",IF(AND(K89&lt;TODAY(),K89&lt;&gt;""),"Overdue","Open")))</f>
        <v/>
      </c>
      <c r="M89" s="49" t="n"/>
    </row>
    <row r="90">
      <c r="A90" s="52" t="n"/>
      <c r="B90" s="49" t="n"/>
      <c r="C90" s="49" t="n"/>
      <c r="D90" s="49" t="n"/>
      <c r="E90" s="49">
        <f>IFERROR(VLOOKUP(D90,'Stock Master'!$A$2:$L$49,2,FALSE),"")</f>
        <v/>
      </c>
      <c r="F90" s="49" t="n"/>
      <c r="G90" s="51">
        <f>IFERROR(VLOOKUP(D90,'Stock Master'!$A$2:$L$49,5,FALSE)*F90,0)</f>
        <v/>
      </c>
      <c r="H90" s="51" t="n"/>
      <c r="I90" s="52" t="n"/>
      <c r="J90" s="51">
        <f>IFERROR(G90-H90,0)</f>
        <v/>
      </c>
      <c r="K90" s="52" t="n"/>
      <c r="L90" s="49">
        <f>IF(A90="","",IF(J90&lt;=0,"Paid",IF(AND(K90&lt;TODAY(),K90&lt;&gt;""),"Overdue","Open")))</f>
        <v/>
      </c>
      <c r="M90" s="49" t="n"/>
    </row>
    <row r="91">
      <c r="A91" s="52" t="n"/>
      <c r="B91" s="49" t="n"/>
      <c r="C91" s="49" t="n"/>
      <c r="D91" s="49" t="n"/>
      <c r="E91" s="49">
        <f>IFERROR(VLOOKUP(D91,'Stock Master'!$A$2:$L$49,2,FALSE),"")</f>
        <v/>
      </c>
      <c r="F91" s="49" t="n"/>
      <c r="G91" s="51">
        <f>IFERROR(VLOOKUP(D91,'Stock Master'!$A$2:$L$49,5,FALSE)*F91,0)</f>
        <v/>
      </c>
      <c r="H91" s="51" t="n"/>
      <c r="I91" s="52" t="n"/>
      <c r="J91" s="51">
        <f>IFERROR(G91-H91,0)</f>
        <v/>
      </c>
      <c r="K91" s="52" t="n"/>
      <c r="L91" s="49">
        <f>IF(A91="","",IF(J91&lt;=0,"Paid",IF(AND(K91&lt;TODAY(),K91&lt;&gt;""),"Overdue","Open")))</f>
        <v/>
      </c>
      <c r="M91" s="49" t="n"/>
    </row>
    <row r="92">
      <c r="A92" s="52" t="n"/>
      <c r="B92" s="49" t="n"/>
      <c r="C92" s="49" t="n"/>
      <c r="D92" s="49" t="n"/>
      <c r="E92" s="49">
        <f>IFERROR(VLOOKUP(D92,'Stock Master'!$A$2:$L$49,2,FALSE),"")</f>
        <v/>
      </c>
      <c r="F92" s="49" t="n"/>
      <c r="G92" s="51">
        <f>IFERROR(VLOOKUP(D92,'Stock Master'!$A$2:$L$49,5,FALSE)*F92,0)</f>
        <v/>
      </c>
      <c r="H92" s="51" t="n"/>
      <c r="I92" s="52" t="n"/>
      <c r="J92" s="51">
        <f>IFERROR(G92-H92,0)</f>
        <v/>
      </c>
      <c r="K92" s="52" t="n"/>
      <c r="L92" s="49">
        <f>IF(A92="","",IF(J92&lt;=0,"Paid",IF(AND(K92&lt;TODAY(),K92&lt;&gt;""),"Overdue","Open")))</f>
        <v/>
      </c>
      <c r="M92" s="49" t="n"/>
    </row>
    <row r="93">
      <c r="A93" s="52" t="n"/>
      <c r="B93" s="49" t="n"/>
      <c r="C93" s="49" t="n"/>
      <c r="D93" s="49" t="n"/>
      <c r="E93" s="49">
        <f>IFERROR(VLOOKUP(D93,'Stock Master'!$A$2:$L$49,2,FALSE),"")</f>
        <v/>
      </c>
      <c r="F93" s="49" t="n"/>
      <c r="G93" s="51">
        <f>IFERROR(VLOOKUP(D93,'Stock Master'!$A$2:$L$49,5,FALSE)*F93,0)</f>
        <v/>
      </c>
      <c r="H93" s="51" t="n"/>
      <c r="I93" s="52" t="n"/>
      <c r="J93" s="51">
        <f>IFERROR(G93-H93,0)</f>
        <v/>
      </c>
      <c r="K93" s="52" t="n"/>
      <c r="L93" s="49">
        <f>IF(A93="","",IF(J93&lt;=0,"Paid",IF(AND(K93&lt;TODAY(),K93&lt;&gt;""),"Overdue","Open")))</f>
        <v/>
      </c>
      <c r="M93" s="49" t="n"/>
    </row>
    <row r="94">
      <c r="A94" s="52" t="n"/>
      <c r="B94" s="49" t="n"/>
      <c r="C94" s="49" t="n"/>
      <c r="D94" s="49" t="n"/>
      <c r="E94" s="49">
        <f>IFERROR(VLOOKUP(D94,'Stock Master'!$A$2:$L$49,2,FALSE),"")</f>
        <v/>
      </c>
      <c r="F94" s="49" t="n"/>
      <c r="G94" s="51">
        <f>IFERROR(VLOOKUP(D94,'Stock Master'!$A$2:$L$49,5,FALSE)*F94,0)</f>
        <v/>
      </c>
      <c r="H94" s="51" t="n"/>
      <c r="I94" s="52" t="n"/>
      <c r="J94" s="51">
        <f>IFERROR(G94-H94,0)</f>
        <v/>
      </c>
      <c r="K94" s="52" t="n"/>
      <c r="L94" s="49">
        <f>IF(A94="","",IF(J94&lt;=0,"Paid",IF(AND(K94&lt;TODAY(),K94&lt;&gt;""),"Overdue","Open")))</f>
        <v/>
      </c>
      <c r="M94" s="49" t="n"/>
    </row>
    <row r="95">
      <c r="A95" s="52" t="n"/>
      <c r="B95" s="49" t="n"/>
      <c r="C95" s="49" t="n"/>
      <c r="D95" s="49" t="n"/>
      <c r="E95" s="49">
        <f>IFERROR(VLOOKUP(D95,'Stock Master'!$A$2:$L$49,2,FALSE),"")</f>
        <v/>
      </c>
      <c r="F95" s="49" t="n"/>
      <c r="G95" s="51">
        <f>IFERROR(VLOOKUP(D95,'Stock Master'!$A$2:$L$49,5,FALSE)*F95,0)</f>
        <v/>
      </c>
      <c r="H95" s="51" t="n"/>
      <c r="I95" s="52" t="n"/>
      <c r="J95" s="51">
        <f>IFERROR(G95-H95,0)</f>
        <v/>
      </c>
      <c r="K95" s="52" t="n"/>
      <c r="L95" s="49">
        <f>IF(A95="","",IF(J95&lt;=0,"Paid",IF(AND(K95&lt;TODAY(),K95&lt;&gt;""),"Overdue","Open")))</f>
        <v/>
      </c>
      <c r="M95" s="49" t="n"/>
    </row>
    <row r="96">
      <c r="A96" s="52" t="n"/>
      <c r="B96" s="49" t="n"/>
      <c r="C96" s="49" t="n"/>
      <c r="D96" s="49" t="n"/>
      <c r="E96" s="49">
        <f>IFERROR(VLOOKUP(D96,'Stock Master'!$A$2:$L$49,2,FALSE),"")</f>
        <v/>
      </c>
      <c r="F96" s="49" t="n"/>
      <c r="G96" s="51">
        <f>IFERROR(VLOOKUP(D96,'Stock Master'!$A$2:$L$49,5,FALSE)*F96,0)</f>
        <v/>
      </c>
      <c r="H96" s="51" t="n"/>
      <c r="I96" s="52" t="n"/>
      <c r="J96" s="51">
        <f>IFERROR(G96-H96,0)</f>
        <v/>
      </c>
      <c r="K96" s="52" t="n"/>
      <c r="L96" s="49">
        <f>IF(A96="","",IF(J96&lt;=0,"Paid",IF(AND(K96&lt;TODAY(),K96&lt;&gt;""),"Overdue","Open")))</f>
        <v/>
      </c>
      <c r="M96" s="49" t="n"/>
    </row>
    <row r="97">
      <c r="A97" s="52" t="n"/>
      <c r="B97" s="49" t="n"/>
      <c r="C97" s="49" t="n"/>
      <c r="D97" s="49" t="n"/>
      <c r="E97" s="49">
        <f>IFERROR(VLOOKUP(D97,'Stock Master'!$A$2:$L$49,2,FALSE),"")</f>
        <v/>
      </c>
      <c r="F97" s="49" t="n"/>
      <c r="G97" s="51">
        <f>IFERROR(VLOOKUP(D97,'Stock Master'!$A$2:$L$49,5,FALSE)*F97,0)</f>
        <v/>
      </c>
      <c r="H97" s="51" t="n"/>
      <c r="I97" s="52" t="n"/>
      <c r="J97" s="51">
        <f>IFERROR(G97-H97,0)</f>
        <v/>
      </c>
      <c r="K97" s="52" t="n"/>
      <c r="L97" s="49">
        <f>IF(A97="","",IF(J97&lt;=0,"Paid",IF(AND(K97&lt;TODAY(),K97&lt;&gt;""),"Overdue","Open")))</f>
        <v/>
      </c>
      <c r="M97" s="49" t="n"/>
    </row>
    <row r="98">
      <c r="A98" s="52" t="n"/>
      <c r="B98" s="49" t="n"/>
      <c r="C98" s="49" t="n"/>
      <c r="D98" s="49" t="n"/>
      <c r="E98" s="49">
        <f>IFERROR(VLOOKUP(D98,'Stock Master'!$A$2:$L$49,2,FALSE),"")</f>
        <v/>
      </c>
      <c r="F98" s="49" t="n"/>
      <c r="G98" s="51">
        <f>IFERROR(VLOOKUP(D98,'Stock Master'!$A$2:$L$49,5,FALSE)*F98,0)</f>
        <v/>
      </c>
      <c r="H98" s="51" t="n"/>
      <c r="I98" s="52" t="n"/>
      <c r="J98" s="51">
        <f>IFERROR(G98-H98,0)</f>
        <v/>
      </c>
      <c r="K98" s="52" t="n"/>
      <c r="L98" s="49">
        <f>IF(A98="","",IF(J98&lt;=0,"Paid",IF(AND(K98&lt;TODAY(),K98&lt;&gt;""),"Overdue","Open")))</f>
        <v/>
      </c>
      <c r="M98" s="49" t="n"/>
    </row>
    <row r="99">
      <c r="A99" s="52" t="n"/>
      <c r="B99" s="49" t="n"/>
      <c r="C99" s="49" t="n"/>
      <c r="D99" s="49" t="n"/>
      <c r="E99" s="49">
        <f>IFERROR(VLOOKUP(D99,'Stock Master'!$A$2:$L$49,2,FALSE),"")</f>
        <v/>
      </c>
      <c r="F99" s="49" t="n"/>
      <c r="G99" s="51">
        <f>IFERROR(VLOOKUP(D99,'Stock Master'!$A$2:$L$49,5,FALSE)*F99,0)</f>
        <v/>
      </c>
      <c r="H99" s="51" t="n"/>
      <c r="I99" s="52" t="n"/>
      <c r="J99" s="51">
        <f>IFERROR(G99-H99,0)</f>
        <v/>
      </c>
      <c r="K99" s="52" t="n"/>
      <c r="L99" s="49">
        <f>IF(A99="","",IF(J99&lt;=0,"Paid",IF(AND(K99&lt;TODAY(),K99&lt;&gt;""),"Overdue","Open")))</f>
        <v/>
      </c>
      <c r="M99" s="49" t="n"/>
    </row>
    <row r="100">
      <c r="A100" s="52" t="n"/>
      <c r="B100" s="49" t="n"/>
      <c r="C100" s="49" t="n"/>
      <c r="D100" s="49" t="n"/>
      <c r="E100" s="49">
        <f>IFERROR(VLOOKUP(D100,'Stock Master'!$A$2:$L$49,2,FALSE),"")</f>
        <v/>
      </c>
      <c r="F100" s="49" t="n"/>
      <c r="G100" s="51">
        <f>IFERROR(VLOOKUP(D100,'Stock Master'!$A$2:$L$49,5,FALSE)*F100,0)</f>
        <v/>
      </c>
      <c r="H100" s="51" t="n"/>
      <c r="I100" s="52" t="n"/>
      <c r="J100" s="51">
        <f>IFERROR(G100-H100,0)</f>
        <v/>
      </c>
      <c r="K100" s="52" t="n"/>
      <c r="L100" s="49">
        <f>IF(A100="","",IF(J100&lt;=0,"Paid",IF(AND(K100&lt;TODAY(),K100&lt;&gt;""),"Overdue","Open")))</f>
        <v/>
      </c>
      <c r="M100" s="49" t="n"/>
    </row>
    <row r="101">
      <c r="A101" s="52" t="n"/>
      <c r="B101" s="49" t="n"/>
      <c r="C101" s="49" t="n"/>
      <c r="D101" s="49" t="n"/>
      <c r="E101" s="49">
        <f>IFERROR(VLOOKUP(D101,'Stock Master'!$A$2:$L$49,2,FALSE),"")</f>
        <v/>
      </c>
      <c r="F101" s="49" t="n"/>
      <c r="G101" s="51">
        <f>IFERROR(VLOOKUP(D101,'Stock Master'!$A$2:$L$49,5,FALSE)*F101,0)</f>
        <v/>
      </c>
      <c r="H101" s="51" t="n"/>
      <c r="I101" s="52" t="n"/>
      <c r="J101" s="51">
        <f>IFERROR(G101-H101,0)</f>
        <v/>
      </c>
      <c r="K101" s="52" t="n"/>
      <c r="L101" s="49">
        <f>IF(A101="","",IF(J101&lt;=0,"Paid",IF(AND(K101&lt;TODAY(),K101&lt;&gt;""),"Overdue","Open")))</f>
        <v/>
      </c>
      <c r="M101" s="49" t="n"/>
    </row>
    <row r="102">
      <c r="A102" s="52" t="n"/>
      <c r="B102" s="49" t="n"/>
      <c r="C102" s="49" t="n"/>
      <c r="D102" s="49" t="n"/>
      <c r="E102" s="49">
        <f>IFERROR(VLOOKUP(D102,'Stock Master'!$A$2:$L$49,2,FALSE),"")</f>
        <v/>
      </c>
      <c r="F102" s="49" t="n"/>
      <c r="G102" s="51">
        <f>IFERROR(VLOOKUP(D102,'Stock Master'!$A$2:$L$49,5,FALSE)*F102,0)</f>
        <v/>
      </c>
      <c r="H102" s="51" t="n"/>
      <c r="I102" s="52" t="n"/>
      <c r="J102" s="51">
        <f>IFERROR(G102-H102,0)</f>
        <v/>
      </c>
      <c r="K102" s="52" t="n"/>
      <c r="L102" s="49">
        <f>IF(A102="","",IF(J102&lt;=0,"Paid",IF(AND(K102&lt;TODAY(),K102&lt;&gt;""),"Overdue","Open")))</f>
        <v/>
      </c>
      <c r="M102" s="49" t="n"/>
    </row>
    <row r="103">
      <c r="A103" s="52" t="n"/>
      <c r="B103" s="49" t="n"/>
      <c r="C103" s="49" t="n"/>
      <c r="D103" s="49" t="n"/>
      <c r="E103" s="49">
        <f>IFERROR(VLOOKUP(D103,'Stock Master'!$A$2:$L$49,2,FALSE),"")</f>
        <v/>
      </c>
      <c r="F103" s="49" t="n"/>
      <c r="G103" s="51">
        <f>IFERROR(VLOOKUP(D103,'Stock Master'!$A$2:$L$49,5,FALSE)*F103,0)</f>
        <v/>
      </c>
      <c r="H103" s="51" t="n"/>
      <c r="I103" s="52" t="n"/>
      <c r="J103" s="51">
        <f>IFERROR(G103-H103,0)</f>
        <v/>
      </c>
      <c r="K103" s="52" t="n"/>
      <c r="L103" s="49">
        <f>IF(A103="","",IF(J103&lt;=0,"Paid",IF(AND(K103&lt;TODAY(),K103&lt;&gt;""),"Overdue","Open")))</f>
        <v/>
      </c>
      <c r="M103" s="49" t="n"/>
    </row>
    <row r="104">
      <c r="A104" s="52" t="n"/>
      <c r="B104" s="49" t="n"/>
      <c r="C104" s="49" t="n"/>
      <c r="D104" s="49" t="n"/>
      <c r="E104" s="49">
        <f>IFERROR(VLOOKUP(D104,'Stock Master'!$A$2:$L$49,2,FALSE),"")</f>
        <v/>
      </c>
      <c r="F104" s="49" t="n"/>
      <c r="G104" s="51">
        <f>IFERROR(VLOOKUP(D104,'Stock Master'!$A$2:$L$49,5,FALSE)*F104,0)</f>
        <v/>
      </c>
      <c r="H104" s="51" t="n"/>
      <c r="I104" s="52" t="n"/>
      <c r="J104" s="51">
        <f>IFERROR(G104-H104,0)</f>
        <v/>
      </c>
      <c r="K104" s="52" t="n"/>
      <c r="L104" s="49">
        <f>IF(A104="","",IF(J104&lt;=0,"Paid",IF(AND(K104&lt;TODAY(),K104&lt;&gt;""),"Overdue","Open")))</f>
        <v/>
      </c>
      <c r="M104" s="49" t="n"/>
    </row>
    <row r="105">
      <c r="A105" s="52" t="n"/>
      <c r="B105" s="49" t="n"/>
      <c r="C105" s="49" t="n"/>
      <c r="D105" s="49" t="n"/>
      <c r="E105" s="49">
        <f>IFERROR(VLOOKUP(D105,'Stock Master'!$A$2:$L$49,2,FALSE),"")</f>
        <v/>
      </c>
      <c r="F105" s="49" t="n"/>
      <c r="G105" s="51">
        <f>IFERROR(VLOOKUP(D105,'Stock Master'!$A$2:$L$49,5,FALSE)*F105,0)</f>
        <v/>
      </c>
      <c r="H105" s="51" t="n"/>
      <c r="I105" s="52" t="n"/>
      <c r="J105" s="51">
        <f>IFERROR(G105-H105,0)</f>
        <v/>
      </c>
      <c r="K105" s="52" t="n"/>
      <c r="L105" s="49">
        <f>IF(A105="","",IF(J105&lt;=0,"Paid",IF(AND(K105&lt;TODAY(),K105&lt;&gt;""),"Overdue","Open")))</f>
        <v/>
      </c>
      <c r="M105" s="49" t="n"/>
    </row>
    <row r="106">
      <c r="A106" s="52" t="n"/>
      <c r="B106" s="49" t="n"/>
      <c r="C106" s="49" t="n"/>
      <c r="D106" s="49" t="n"/>
      <c r="E106" s="49">
        <f>IFERROR(VLOOKUP(D106,'Stock Master'!$A$2:$L$49,2,FALSE),"")</f>
        <v/>
      </c>
      <c r="F106" s="49" t="n"/>
      <c r="G106" s="51">
        <f>IFERROR(VLOOKUP(D106,'Stock Master'!$A$2:$L$49,5,FALSE)*F106,0)</f>
        <v/>
      </c>
      <c r="H106" s="51" t="n"/>
      <c r="I106" s="52" t="n"/>
      <c r="J106" s="51">
        <f>IFERROR(G106-H106,0)</f>
        <v/>
      </c>
      <c r="K106" s="52" t="n"/>
      <c r="L106" s="49">
        <f>IF(A106="","",IF(J106&lt;=0,"Paid",IF(AND(K106&lt;TODAY(),K106&lt;&gt;""),"Overdue","Open")))</f>
        <v/>
      </c>
      <c r="M106" s="49" t="n"/>
    </row>
    <row r="107">
      <c r="A107" s="52" t="n"/>
      <c r="B107" s="49" t="n"/>
      <c r="C107" s="49" t="n"/>
      <c r="D107" s="49" t="n"/>
      <c r="E107" s="49">
        <f>IFERROR(VLOOKUP(D107,'Stock Master'!$A$2:$L$49,2,FALSE),"")</f>
        <v/>
      </c>
      <c r="F107" s="49" t="n"/>
      <c r="G107" s="51">
        <f>IFERROR(VLOOKUP(D107,'Stock Master'!$A$2:$L$49,5,FALSE)*F107,0)</f>
        <v/>
      </c>
      <c r="H107" s="51" t="n"/>
      <c r="I107" s="52" t="n"/>
      <c r="J107" s="51">
        <f>IFERROR(G107-H107,0)</f>
        <v/>
      </c>
      <c r="K107" s="52" t="n"/>
      <c r="L107" s="49">
        <f>IF(A107="","",IF(J107&lt;=0,"Paid",IF(AND(K107&lt;TODAY(),K107&lt;&gt;""),"Overdue","Open")))</f>
        <v/>
      </c>
      <c r="M107" s="49" t="n"/>
    </row>
    <row r="108">
      <c r="A108" s="52" t="n"/>
      <c r="B108" s="49" t="n"/>
      <c r="C108" s="49" t="n"/>
      <c r="D108" s="49" t="n"/>
      <c r="E108" s="49">
        <f>IFERROR(VLOOKUP(D108,'Stock Master'!$A$2:$L$49,2,FALSE),"")</f>
        <v/>
      </c>
      <c r="F108" s="49" t="n"/>
      <c r="G108" s="51">
        <f>IFERROR(VLOOKUP(D108,'Stock Master'!$A$2:$L$49,5,FALSE)*F108,0)</f>
        <v/>
      </c>
      <c r="H108" s="51" t="n"/>
      <c r="I108" s="52" t="n"/>
      <c r="J108" s="51">
        <f>IFERROR(G108-H108,0)</f>
        <v/>
      </c>
      <c r="K108" s="52" t="n"/>
      <c r="L108" s="49">
        <f>IF(A108="","",IF(J108&lt;=0,"Paid",IF(AND(K108&lt;TODAY(),K108&lt;&gt;""),"Overdue","Open")))</f>
        <v/>
      </c>
      <c r="M108" s="49" t="n"/>
    </row>
    <row r="109">
      <c r="A109" s="52" t="n"/>
      <c r="B109" s="49" t="n"/>
      <c r="C109" s="49" t="n"/>
      <c r="D109" s="49" t="n"/>
      <c r="E109" s="49">
        <f>IFERROR(VLOOKUP(D109,'Stock Master'!$A$2:$L$49,2,FALSE),"")</f>
        <v/>
      </c>
      <c r="F109" s="49" t="n"/>
      <c r="G109" s="51">
        <f>IFERROR(VLOOKUP(D109,'Stock Master'!$A$2:$L$49,5,FALSE)*F109,0)</f>
        <v/>
      </c>
      <c r="H109" s="51" t="n"/>
      <c r="I109" s="52" t="n"/>
      <c r="J109" s="51">
        <f>IFERROR(G109-H109,0)</f>
        <v/>
      </c>
      <c r="K109" s="52" t="n"/>
      <c r="L109" s="49">
        <f>IF(A109="","",IF(J109&lt;=0,"Paid",IF(AND(K109&lt;TODAY(),K109&lt;&gt;""),"Overdue","Open")))</f>
        <v/>
      </c>
      <c r="M109" s="49" t="n"/>
    </row>
    <row r="110">
      <c r="A110" s="52" t="n"/>
      <c r="B110" s="49" t="n"/>
      <c r="C110" s="49" t="n"/>
      <c r="D110" s="49" t="n"/>
      <c r="E110" s="49">
        <f>IFERROR(VLOOKUP(D110,'Stock Master'!$A$2:$L$49,2,FALSE),"")</f>
        <v/>
      </c>
      <c r="F110" s="49" t="n"/>
      <c r="G110" s="51">
        <f>IFERROR(VLOOKUP(D110,'Stock Master'!$A$2:$L$49,5,FALSE)*F110,0)</f>
        <v/>
      </c>
      <c r="H110" s="51" t="n"/>
      <c r="I110" s="52" t="n"/>
      <c r="J110" s="51">
        <f>IFERROR(G110-H110,0)</f>
        <v/>
      </c>
      <c r="K110" s="52" t="n"/>
      <c r="L110" s="49">
        <f>IF(A110="","",IF(J110&lt;=0,"Paid",IF(AND(K110&lt;TODAY(),K110&lt;&gt;""),"Overdue","Open")))</f>
        <v/>
      </c>
      <c r="M110" s="49" t="n"/>
    </row>
    <row r="111">
      <c r="A111" s="52" t="n"/>
      <c r="B111" s="49" t="n"/>
      <c r="C111" s="49" t="n"/>
      <c r="D111" s="49" t="n"/>
      <c r="E111" s="49">
        <f>IFERROR(VLOOKUP(D111,'Stock Master'!$A$2:$L$49,2,FALSE),"")</f>
        <v/>
      </c>
      <c r="F111" s="49" t="n"/>
      <c r="G111" s="51">
        <f>IFERROR(VLOOKUP(D111,'Stock Master'!$A$2:$L$49,5,FALSE)*F111,0)</f>
        <v/>
      </c>
      <c r="H111" s="51" t="n"/>
      <c r="I111" s="52" t="n"/>
      <c r="J111" s="51">
        <f>IFERROR(G111-H111,0)</f>
        <v/>
      </c>
      <c r="K111" s="52" t="n"/>
      <c r="L111" s="49">
        <f>IF(A111="","",IF(J111&lt;=0,"Paid",IF(AND(K111&lt;TODAY(),K111&lt;&gt;""),"Overdue","Open")))</f>
        <v/>
      </c>
      <c r="M111" s="49" t="n"/>
    </row>
    <row r="112">
      <c r="A112" s="52" t="n"/>
      <c r="B112" s="49" t="n"/>
      <c r="C112" s="49" t="n"/>
      <c r="D112" s="49" t="n"/>
      <c r="E112" s="49">
        <f>IFERROR(VLOOKUP(D112,'Stock Master'!$A$2:$L$49,2,FALSE),"")</f>
        <v/>
      </c>
      <c r="F112" s="49" t="n"/>
      <c r="G112" s="51">
        <f>IFERROR(VLOOKUP(D112,'Stock Master'!$A$2:$L$49,5,FALSE)*F112,0)</f>
        <v/>
      </c>
      <c r="H112" s="51" t="n"/>
      <c r="I112" s="52" t="n"/>
      <c r="J112" s="51">
        <f>IFERROR(G112-H112,0)</f>
        <v/>
      </c>
      <c r="K112" s="52" t="n"/>
      <c r="L112" s="49">
        <f>IF(A112="","",IF(J112&lt;=0,"Paid",IF(AND(K112&lt;TODAY(),K112&lt;&gt;""),"Overdue","Open")))</f>
        <v/>
      </c>
      <c r="M112" s="49" t="n"/>
    </row>
    <row r="113">
      <c r="A113" s="52" t="n"/>
      <c r="B113" s="49" t="n"/>
      <c r="C113" s="49" t="n"/>
      <c r="D113" s="49" t="n"/>
      <c r="E113" s="49">
        <f>IFERROR(VLOOKUP(D113,'Stock Master'!$A$2:$L$49,2,FALSE),"")</f>
        <v/>
      </c>
      <c r="F113" s="49" t="n"/>
      <c r="G113" s="51">
        <f>IFERROR(VLOOKUP(D113,'Stock Master'!$A$2:$L$49,5,FALSE)*F113,0)</f>
        <v/>
      </c>
      <c r="H113" s="51" t="n"/>
      <c r="I113" s="52" t="n"/>
      <c r="J113" s="51">
        <f>IFERROR(G113-H113,0)</f>
        <v/>
      </c>
      <c r="K113" s="52" t="n"/>
      <c r="L113" s="49">
        <f>IF(A113="","",IF(J113&lt;=0,"Paid",IF(AND(K113&lt;TODAY(),K113&lt;&gt;""),"Overdue","Open")))</f>
        <v/>
      </c>
      <c r="M113" s="49" t="n"/>
    </row>
    <row r="114">
      <c r="A114" s="52" t="n"/>
      <c r="B114" s="49" t="n"/>
      <c r="C114" s="49" t="n"/>
      <c r="D114" s="49" t="n"/>
      <c r="E114" s="49">
        <f>IFERROR(VLOOKUP(D114,'Stock Master'!$A$2:$L$49,2,FALSE),"")</f>
        <v/>
      </c>
      <c r="F114" s="49" t="n"/>
      <c r="G114" s="51">
        <f>IFERROR(VLOOKUP(D114,'Stock Master'!$A$2:$L$49,5,FALSE)*F114,0)</f>
        <v/>
      </c>
      <c r="H114" s="51" t="n"/>
      <c r="I114" s="52" t="n"/>
      <c r="J114" s="51">
        <f>IFERROR(G114-H114,0)</f>
        <v/>
      </c>
      <c r="K114" s="52" t="n"/>
      <c r="L114" s="49">
        <f>IF(A114="","",IF(J114&lt;=0,"Paid",IF(AND(K114&lt;TODAY(),K114&lt;&gt;""),"Overdue","Open")))</f>
        <v/>
      </c>
      <c r="M114" s="49" t="n"/>
    </row>
    <row r="115">
      <c r="A115" s="52" t="n"/>
      <c r="B115" s="49" t="n"/>
      <c r="C115" s="49" t="n"/>
      <c r="D115" s="49" t="n"/>
      <c r="E115" s="49">
        <f>IFERROR(VLOOKUP(D115,'Stock Master'!$A$2:$L$49,2,FALSE),"")</f>
        <v/>
      </c>
      <c r="F115" s="49" t="n"/>
      <c r="G115" s="51">
        <f>IFERROR(VLOOKUP(D115,'Stock Master'!$A$2:$L$49,5,FALSE)*F115,0)</f>
        <v/>
      </c>
      <c r="H115" s="51" t="n"/>
      <c r="I115" s="52" t="n"/>
      <c r="J115" s="51">
        <f>IFERROR(G115-H115,0)</f>
        <v/>
      </c>
      <c r="K115" s="52" t="n"/>
      <c r="L115" s="49">
        <f>IF(A115="","",IF(J115&lt;=0,"Paid",IF(AND(K115&lt;TODAY(),K115&lt;&gt;""),"Overdue","Open")))</f>
        <v/>
      </c>
      <c r="M115" s="49" t="n"/>
    </row>
    <row r="116">
      <c r="A116" s="52" t="n"/>
      <c r="B116" s="49" t="n"/>
      <c r="C116" s="49" t="n"/>
      <c r="D116" s="49" t="n"/>
      <c r="E116" s="49">
        <f>IFERROR(VLOOKUP(D116,'Stock Master'!$A$2:$L$49,2,FALSE),"")</f>
        <v/>
      </c>
      <c r="F116" s="49" t="n"/>
      <c r="G116" s="51">
        <f>IFERROR(VLOOKUP(D116,'Stock Master'!$A$2:$L$49,5,FALSE)*F116,0)</f>
        <v/>
      </c>
      <c r="H116" s="51" t="n"/>
      <c r="I116" s="52" t="n"/>
      <c r="J116" s="51">
        <f>IFERROR(G116-H116,0)</f>
        <v/>
      </c>
      <c r="K116" s="52" t="n"/>
      <c r="L116" s="49">
        <f>IF(A116="","",IF(J116&lt;=0,"Paid",IF(AND(K116&lt;TODAY(),K116&lt;&gt;""),"Overdue","Open")))</f>
        <v/>
      </c>
      <c r="M116" s="49" t="n"/>
    </row>
    <row r="117">
      <c r="A117" s="52" t="n"/>
      <c r="B117" s="49" t="n"/>
      <c r="C117" s="49" t="n"/>
      <c r="D117" s="49" t="n"/>
      <c r="E117" s="49">
        <f>IFERROR(VLOOKUP(D117,'Stock Master'!$A$2:$L$49,2,FALSE),"")</f>
        <v/>
      </c>
      <c r="F117" s="49" t="n"/>
      <c r="G117" s="51">
        <f>IFERROR(VLOOKUP(D117,'Stock Master'!$A$2:$L$49,5,FALSE)*F117,0)</f>
        <v/>
      </c>
      <c r="H117" s="51" t="n"/>
      <c r="I117" s="52" t="n"/>
      <c r="J117" s="51">
        <f>IFERROR(G117-H117,0)</f>
        <v/>
      </c>
      <c r="K117" s="52" t="n"/>
      <c r="L117" s="49">
        <f>IF(A117="","",IF(J117&lt;=0,"Paid",IF(AND(K117&lt;TODAY(),K117&lt;&gt;""),"Overdue","Open")))</f>
        <v/>
      </c>
      <c r="M117" s="49" t="n"/>
    </row>
    <row r="118">
      <c r="A118" s="52" t="n"/>
      <c r="B118" s="49" t="n"/>
      <c r="C118" s="49" t="n"/>
      <c r="D118" s="49" t="n"/>
      <c r="E118" s="49">
        <f>IFERROR(VLOOKUP(D118,'Stock Master'!$A$2:$L$49,2,FALSE),"")</f>
        <v/>
      </c>
      <c r="F118" s="49" t="n"/>
      <c r="G118" s="51">
        <f>IFERROR(VLOOKUP(D118,'Stock Master'!$A$2:$L$49,5,FALSE)*F118,0)</f>
        <v/>
      </c>
      <c r="H118" s="51" t="n"/>
      <c r="I118" s="52" t="n"/>
      <c r="J118" s="51">
        <f>IFERROR(G118-H118,0)</f>
        <v/>
      </c>
      <c r="K118" s="52" t="n"/>
      <c r="L118" s="49">
        <f>IF(A118="","",IF(J118&lt;=0,"Paid",IF(AND(K118&lt;TODAY(),K118&lt;&gt;""),"Overdue","Open")))</f>
        <v/>
      </c>
      <c r="M118" s="49" t="n"/>
    </row>
    <row r="119">
      <c r="A119" s="52" t="n"/>
      <c r="B119" s="49" t="n"/>
      <c r="C119" s="49" t="n"/>
      <c r="D119" s="49" t="n"/>
      <c r="E119" s="49">
        <f>IFERROR(VLOOKUP(D119,'Stock Master'!$A$2:$L$49,2,FALSE),"")</f>
        <v/>
      </c>
      <c r="F119" s="49" t="n"/>
      <c r="G119" s="51">
        <f>IFERROR(VLOOKUP(D119,'Stock Master'!$A$2:$L$49,5,FALSE)*F119,0)</f>
        <v/>
      </c>
      <c r="H119" s="51" t="n"/>
      <c r="I119" s="52" t="n"/>
      <c r="J119" s="51">
        <f>IFERROR(G119-H119,0)</f>
        <v/>
      </c>
      <c r="K119" s="52" t="n"/>
      <c r="L119" s="49">
        <f>IF(A119="","",IF(J119&lt;=0,"Paid",IF(AND(K119&lt;TODAY(),K119&lt;&gt;""),"Overdue","Open")))</f>
        <v/>
      </c>
      <c r="M119" s="49" t="n"/>
    </row>
    <row r="120">
      <c r="A120" s="52" t="n"/>
      <c r="B120" s="49" t="n"/>
      <c r="C120" s="49" t="n"/>
      <c r="D120" s="49" t="n"/>
      <c r="E120" s="49">
        <f>IFERROR(VLOOKUP(D120,'Stock Master'!$A$2:$L$49,2,FALSE),"")</f>
        <v/>
      </c>
      <c r="F120" s="49" t="n"/>
      <c r="G120" s="51">
        <f>IFERROR(VLOOKUP(D120,'Stock Master'!$A$2:$L$49,5,FALSE)*F120,0)</f>
        <v/>
      </c>
      <c r="H120" s="51" t="n"/>
      <c r="I120" s="52" t="n"/>
      <c r="J120" s="51">
        <f>IFERROR(G120-H120,0)</f>
        <v/>
      </c>
      <c r="K120" s="52" t="n"/>
      <c r="L120" s="49">
        <f>IF(A120="","",IF(J120&lt;=0,"Paid",IF(AND(K120&lt;TODAY(),K120&lt;&gt;""),"Overdue","Open")))</f>
        <v/>
      </c>
      <c r="M120" s="49" t="n"/>
    </row>
    <row r="121">
      <c r="A121" s="52" t="n"/>
      <c r="B121" s="49" t="n"/>
      <c r="C121" s="49" t="n"/>
      <c r="D121" s="49" t="n"/>
      <c r="E121" s="49">
        <f>IFERROR(VLOOKUP(D121,'Stock Master'!$A$2:$L$49,2,FALSE),"")</f>
        <v/>
      </c>
      <c r="F121" s="49" t="n"/>
      <c r="G121" s="51">
        <f>IFERROR(VLOOKUP(D121,'Stock Master'!$A$2:$L$49,5,FALSE)*F121,0)</f>
        <v/>
      </c>
      <c r="H121" s="51" t="n"/>
      <c r="I121" s="52" t="n"/>
      <c r="J121" s="51">
        <f>IFERROR(G121-H121,0)</f>
        <v/>
      </c>
      <c r="K121" s="52" t="n"/>
      <c r="L121" s="49">
        <f>IF(A121="","",IF(J121&lt;=0,"Paid",IF(AND(K121&lt;TODAY(),K121&lt;&gt;""),"Overdue","Open")))</f>
        <v/>
      </c>
      <c r="M121" s="49" t="n"/>
    </row>
    <row r="122">
      <c r="A122" s="52" t="n"/>
      <c r="B122" s="49" t="n"/>
      <c r="C122" s="49" t="n"/>
      <c r="D122" s="49" t="n"/>
      <c r="E122" s="49">
        <f>IFERROR(VLOOKUP(D122,'Stock Master'!$A$2:$L$49,2,FALSE),"")</f>
        <v/>
      </c>
      <c r="F122" s="49" t="n"/>
      <c r="G122" s="51">
        <f>IFERROR(VLOOKUP(D122,'Stock Master'!$A$2:$L$49,5,FALSE)*F122,0)</f>
        <v/>
      </c>
      <c r="H122" s="51" t="n"/>
      <c r="I122" s="52" t="n"/>
      <c r="J122" s="51">
        <f>IFERROR(G122-H122,0)</f>
        <v/>
      </c>
      <c r="K122" s="52" t="n"/>
      <c r="L122" s="49">
        <f>IF(A122="","",IF(J122&lt;=0,"Paid",IF(AND(K122&lt;TODAY(),K122&lt;&gt;""),"Overdue","Open")))</f>
        <v/>
      </c>
      <c r="M122" s="49" t="n"/>
    </row>
    <row r="123">
      <c r="A123" s="52" t="n"/>
      <c r="B123" s="49" t="n"/>
      <c r="C123" s="49" t="n"/>
      <c r="D123" s="49" t="n"/>
      <c r="E123" s="49">
        <f>IFERROR(VLOOKUP(D123,'Stock Master'!$A$2:$L$49,2,FALSE),"")</f>
        <v/>
      </c>
      <c r="F123" s="49" t="n"/>
      <c r="G123" s="51">
        <f>IFERROR(VLOOKUP(D123,'Stock Master'!$A$2:$L$49,5,FALSE)*F123,0)</f>
        <v/>
      </c>
      <c r="H123" s="51" t="n"/>
      <c r="I123" s="52" t="n"/>
      <c r="J123" s="51">
        <f>IFERROR(G123-H123,0)</f>
        <v/>
      </c>
      <c r="K123" s="52" t="n"/>
      <c r="L123" s="49">
        <f>IF(A123="","",IF(J123&lt;=0,"Paid",IF(AND(K123&lt;TODAY(),K123&lt;&gt;""),"Overdue","Open")))</f>
        <v/>
      </c>
      <c r="M123" s="49" t="n"/>
    </row>
    <row r="124">
      <c r="A124" s="52" t="n"/>
      <c r="B124" s="49" t="n"/>
      <c r="C124" s="49" t="n"/>
      <c r="D124" s="49" t="n"/>
      <c r="E124" s="49">
        <f>IFERROR(VLOOKUP(D124,'Stock Master'!$A$2:$L$49,2,FALSE),"")</f>
        <v/>
      </c>
      <c r="F124" s="49" t="n"/>
      <c r="G124" s="51">
        <f>IFERROR(VLOOKUP(D124,'Stock Master'!$A$2:$L$49,5,FALSE)*F124,0)</f>
        <v/>
      </c>
      <c r="H124" s="51" t="n"/>
      <c r="I124" s="52" t="n"/>
      <c r="J124" s="51">
        <f>IFERROR(G124-H124,0)</f>
        <v/>
      </c>
      <c r="K124" s="52" t="n"/>
      <c r="L124" s="49">
        <f>IF(A124="","",IF(J124&lt;=0,"Paid",IF(AND(K124&lt;TODAY(),K124&lt;&gt;""),"Overdue","Open")))</f>
        <v/>
      </c>
      <c r="M124" s="49" t="n"/>
    </row>
    <row r="125">
      <c r="A125" s="52" t="n"/>
      <c r="B125" s="49" t="n"/>
      <c r="C125" s="49" t="n"/>
      <c r="D125" s="49" t="n"/>
      <c r="E125" s="49">
        <f>IFERROR(VLOOKUP(D125,'Stock Master'!$A$2:$L$49,2,FALSE),"")</f>
        <v/>
      </c>
      <c r="F125" s="49" t="n"/>
      <c r="G125" s="51">
        <f>IFERROR(VLOOKUP(D125,'Stock Master'!$A$2:$L$49,5,FALSE)*F125,0)</f>
        <v/>
      </c>
      <c r="H125" s="51" t="n"/>
      <c r="I125" s="52" t="n"/>
      <c r="J125" s="51">
        <f>IFERROR(G125-H125,0)</f>
        <v/>
      </c>
      <c r="K125" s="52" t="n"/>
      <c r="L125" s="49">
        <f>IF(A125="","",IF(J125&lt;=0,"Paid",IF(AND(K125&lt;TODAY(),K125&lt;&gt;""),"Overdue","Open")))</f>
        <v/>
      </c>
      <c r="M125" s="49" t="n"/>
    </row>
    <row r="126">
      <c r="A126" s="52" t="n"/>
      <c r="B126" s="49" t="n"/>
      <c r="C126" s="49" t="n"/>
      <c r="D126" s="49" t="n"/>
      <c r="E126" s="49">
        <f>IFERROR(VLOOKUP(D126,'Stock Master'!$A$2:$L$49,2,FALSE),"")</f>
        <v/>
      </c>
      <c r="F126" s="49" t="n"/>
      <c r="G126" s="51">
        <f>IFERROR(VLOOKUP(D126,'Stock Master'!$A$2:$L$49,5,FALSE)*F126,0)</f>
        <v/>
      </c>
      <c r="H126" s="51" t="n"/>
      <c r="I126" s="52" t="n"/>
      <c r="J126" s="51">
        <f>IFERROR(G126-H126,0)</f>
        <v/>
      </c>
      <c r="K126" s="52" t="n"/>
      <c r="L126" s="49">
        <f>IF(A126="","",IF(J126&lt;=0,"Paid",IF(AND(K126&lt;TODAY(),K126&lt;&gt;""),"Overdue","Open")))</f>
        <v/>
      </c>
      <c r="M126" s="49" t="n"/>
    </row>
    <row r="127">
      <c r="A127" s="52" t="n"/>
      <c r="B127" s="49" t="n"/>
      <c r="C127" s="49" t="n"/>
      <c r="D127" s="49" t="n"/>
      <c r="E127" s="49">
        <f>IFERROR(VLOOKUP(D127,'Stock Master'!$A$2:$L$49,2,FALSE),"")</f>
        <v/>
      </c>
      <c r="F127" s="49" t="n"/>
      <c r="G127" s="51">
        <f>IFERROR(VLOOKUP(D127,'Stock Master'!$A$2:$L$49,5,FALSE)*F127,0)</f>
        <v/>
      </c>
      <c r="H127" s="51" t="n"/>
      <c r="I127" s="52" t="n"/>
      <c r="J127" s="51">
        <f>IFERROR(G127-H127,0)</f>
        <v/>
      </c>
      <c r="K127" s="52" t="n"/>
      <c r="L127" s="49">
        <f>IF(A127="","",IF(J127&lt;=0,"Paid",IF(AND(K127&lt;TODAY(),K127&lt;&gt;""),"Overdue","Open")))</f>
        <v/>
      </c>
      <c r="M127" s="49" t="n"/>
    </row>
    <row r="128">
      <c r="A128" s="52" t="n"/>
      <c r="B128" s="49" t="n"/>
      <c r="C128" s="49" t="n"/>
      <c r="D128" s="49" t="n"/>
      <c r="E128" s="49">
        <f>IFERROR(VLOOKUP(D128,'Stock Master'!$A$2:$L$49,2,FALSE),"")</f>
        <v/>
      </c>
      <c r="F128" s="49" t="n"/>
      <c r="G128" s="51">
        <f>IFERROR(VLOOKUP(D128,'Stock Master'!$A$2:$L$49,5,FALSE)*F128,0)</f>
        <v/>
      </c>
      <c r="H128" s="51" t="n"/>
      <c r="I128" s="52" t="n"/>
      <c r="J128" s="51">
        <f>IFERROR(G128-H128,0)</f>
        <v/>
      </c>
      <c r="K128" s="52" t="n"/>
      <c r="L128" s="49">
        <f>IF(A128="","",IF(J128&lt;=0,"Paid",IF(AND(K128&lt;TODAY(),K128&lt;&gt;""),"Overdue","Open")))</f>
        <v/>
      </c>
      <c r="M128" s="49" t="n"/>
    </row>
    <row r="129">
      <c r="A129" s="52" t="n"/>
      <c r="B129" s="49" t="n"/>
      <c r="C129" s="49" t="n"/>
      <c r="D129" s="49" t="n"/>
      <c r="E129" s="49">
        <f>IFERROR(VLOOKUP(D129,'Stock Master'!$A$2:$L$49,2,FALSE),"")</f>
        <v/>
      </c>
      <c r="F129" s="49" t="n"/>
      <c r="G129" s="51">
        <f>IFERROR(VLOOKUP(D129,'Stock Master'!$A$2:$L$49,5,FALSE)*F129,0)</f>
        <v/>
      </c>
      <c r="H129" s="51" t="n"/>
      <c r="I129" s="52" t="n"/>
      <c r="J129" s="51">
        <f>IFERROR(G129-H129,0)</f>
        <v/>
      </c>
      <c r="K129" s="52" t="n"/>
      <c r="L129" s="49">
        <f>IF(A129="","",IF(J129&lt;=0,"Paid",IF(AND(K129&lt;TODAY(),K129&lt;&gt;""),"Overdue","Open")))</f>
        <v/>
      </c>
      <c r="M129" s="49" t="n"/>
    </row>
    <row r="130">
      <c r="A130" s="52" t="n"/>
      <c r="B130" s="49" t="n"/>
      <c r="C130" s="49" t="n"/>
      <c r="D130" s="49" t="n"/>
      <c r="E130" s="49">
        <f>IFERROR(VLOOKUP(D130,'Stock Master'!$A$2:$L$49,2,FALSE),"")</f>
        <v/>
      </c>
      <c r="F130" s="49" t="n"/>
      <c r="G130" s="51">
        <f>IFERROR(VLOOKUP(D130,'Stock Master'!$A$2:$L$49,5,FALSE)*F130,0)</f>
        <v/>
      </c>
      <c r="H130" s="51" t="n"/>
      <c r="I130" s="52" t="n"/>
      <c r="J130" s="51">
        <f>IFERROR(G130-H130,0)</f>
        <v/>
      </c>
      <c r="K130" s="52" t="n"/>
      <c r="L130" s="49">
        <f>IF(A130="","",IF(J130&lt;=0,"Paid",IF(AND(K130&lt;TODAY(),K130&lt;&gt;""),"Overdue","Open")))</f>
        <v/>
      </c>
      <c r="M130" s="49" t="n"/>
    </row>
    <row r="131">
      <c r="A131" s="52" t="n"/>
      <c r="B131" s="49" t="n"/>
      <c r="C131" s="49" t="n"/>
      <c r="D131" s="49" t="n"/>
      <c r="E131" s="49">
        <f>IFERROR(VLOOKUP(D131,'Stock Master'!$A$2:$L$49,2,FALSE),"")</f>
        <v/>
      </c>
      <c r="F131" s="49" t="n"/>
      <c r="G131" s="51">
        <f>IFERROR(VLOOKUP(D131,'Stock Master'!$A$2:$L$49,5,FALSE)*F131,0)</f>
        <v/>
      </c>
      <c r="H131" s="51" t="n"/>
      <c r="I131" s="52" t="n"/>
      <c r="J131" s="51">
        <f>IFERROR(G131-H131,0)</f>
        <v/>
      </c>
      <c r="K131" s="52" t="n"/>
      <c r="L131" s="49">
        <f>IF(A131="","",IF(J131&lt;=0,"Paid",IF(AND(K131&lt;TODAY(),K131&lt;&gt;""),"Overdue","Open")))</f>
        <v/>
      </c>
      <c r="M131" s="49" t="n"/>
    </row>
    <row r="132">
      <c r="A132" s="52" t="n"/>
      <c r="B132" s="49" t="n"/>
      <c r="C132" s="49" t="n"/>
      <c r="D132" s="49" t="n"/>
      <c r="E132" s="49">
        <f>IFERROR(VLOOKUP(D132,'Stock Master'!$A$2:$L$49,2,FALSE),"")</f>
        <v/>
      </c>
      <c r="F132" s="49" t="n"/>
      <c r="G132" s="51">
        <f>IFERROR(VLOOKUP(D132,'Stock Master'!$A$2:$L$49,5,FALSE)*F132,0)</f>
        <v/>
      </c>
      <c r="H132" s="51" t="n"/>
      <c r="I132" s="52" t="n"/>
      <c r="J132" s="51">
        <f>IFERROR(G132-H132,0)</f>
        <v/>
      </c>
      <c r="K132" s="52" t="n"/>
      <c r="L132" s="49">
        <f>IF(A132="","",IF(J132&lt;=0,"Paid",IF(AND(K132&lt;TODAY(),K132&lt;&gt;""),"Overdue","Open")))</f>
        <v/>
      </c>
      <c r="M132" s="49" t="n"/>
    </row>
    <row r="133">
      <c r="A133" s="52" t="n"/>
      <c r="B133" s="49" t="n"/>
      <c r="C133" s="49" t="n"/>
      <c r="D133" s="49" t="n"/>
      <c r="E133" s="49">
        <f>IFERROR(VLOOKUP(D133,'Stock Master'!$A$2:$L$49,2,FALSE),"")</f>
        <v/>
      </c>
      <c r="F133" s="49" t="n"/>
      <c r="G133" s="51">
        <f>IFERROR(VLOOKUP(D133,'Stock Master'!$A$2:$L$49,5,FALSE)*F133,0)</f>
        <v/>
      </c>
      <c r="H133" s="51" t="n"/>
      <c r="I133" s="52" t="n"/>
      <c r="J133" s="51">
        <f>IFERROR(G133-H133,0)</f>
        <v/>
      </c>
      <c r="K133" s="52" t="n"/>
      <c r="L133" s="49">
        <f>IF(A133="","",IF(J133&lt;=0,"Paid",IF(AND(K133&lt;TODAY(),K133&lt;&gt;""),"Overdue","Open")))</f>
        <v/>
      </c>
      <c r="M133" s="49" t="n"/>
    </row>
    <row r="134">
      <c r="A134" s="52" t="n"/>
      <c r="B134" s="49" t="n"/>
      <c r="C134" s="49" t="n"/>
      <c r="D134" s="49" t="n"/>
      <c r="E134" s="49">
        <f>IFERROR(VLOOKUP(D134,'Stock Master'!$A$2:$L$49,2,FALSE),"")</f>
        <v/>
      </c>
      <c r="F134" s="49" t="n"/>
      <c r="G134" s="51">
        <f>IFERROR(VLOOKUP(D134,'Stock Master'!$A$2:$L$49,5,FALSE)*F134,0)</f>
        <v/>
      </c>
      <c r="H134" s="51" t="n"/>
      <c r="I134" s="52" t="n"/>
      <c r="J134" s="51">
        <f>IFERROR(G134-H134,0)</f>
        <v/>
      </c>
      <c r="K134" s="52" t="n"/>
      <c r="L134" s="49">
        <f>IF(A134="","",IF(J134&lt;=0,"Paid",IF(AND(K134&lt;TODAY(),K134&lt;&gt;""),"Overdue","Open")))</f>
        <v/>
      </c>
      <c r="M134" s="49" t="n"/>
    </row>
    <row r="135">
      <c r="A135" s="52" t="n"/>
      <c r="B135" s="49" t="n"/>
      <c r="C135" s="49" t="n"/>
      <c r="D135" s="49" t="n"/>
      <c r="E135" s="49">
        <f>IFERROR(VLOOKUP(D135,'Stock Master'!$A$2:$L$49,2,FALSE),"")</f>
        <v/>
      </c>
      <c r="F135" s="49" t="n"/>
      <c r="G135" s="51">
        <f>IFERROR(VLOOKUP(D135,'Stock Master'!$A$2:$L$49,5,FALSE)*F135,0)</f>
        <v/>
      </c>
      <c r="H135" s="51" t="n"/>
      <c r="I135" s="52" t="n"/>
      <c r="J135" s="51">
        <f>IFERROR(G135-H135,0)</f>
        <v/>
      </c>
      <c r="K135" s="52" t="n"/>
      <c r="L135" s="49">
        <f>IF(A135="","",IF(J135&lt;=0,"Paid",IF(AND(K135&lt;TODAY(),K135&lt;&gt;""),"Overdue","Open")))</f>
        <v/>
      </c>
      <c r="M135" s="49" t="n"/>
    </row>
    <row r="136">
      <c r="A136" s="52" t="n"/>
      <c r="B136" s="49" t="n"/>
      <c r="C136" s="49" t="n"/>
      <c r="D136" s="49" t="n"/>
      <c r="E136" s="49">
        <f>IFERROR(VLOOKUP(D136,'Stock Master'!$A$2:$L$49,2,FALSE),"")</f>
        <v/>
      </c>
      <c r="F136" s="49" t="n"/>
      <c r="G136" s="51">
        <f>IFERROR(VLOOKUP(D136,'Stock Master'!$A$2:$L$49,5,FALSE)*F136,0)</f>
        <v/>
      </c>
      <c r="H136" s="51" t="n"/>
      <c r="I136" s="52" t="n"/>
      <c r="J136" s="51">
        <f>IFERROR(G136-H136,0)</f>
        <v/>
      </c>
      <c r="K136" s="52" t="n"/>
      <c r="L136" s="49">
        <f>IF(A136="","",IF(J136&lt;=0,"Paid",IF(AND(K136&lt;TODAY(),K136&lt;&gt;""),"Overdue","Open")))</f>
        <v/>
      </c>
      <c r="M136" s="49" t="n"/>
    </row>
    <row r="137">
      <c r="A137" s="52" t="n"/>
      <c r="B137" s="49" t="n"/>
      <c r="C137" s="49" t="n"/>
      <c r="D137" s="49" t="n"/>
      <c r="E137" s="49">
        <f>IFERROR(VLOOKUP(D137,'Stock Master'!$A$2:$L$49,2,FALSE),"")</f>
        <v/>
      </c>
      <c r="F137" s="49" t="n"/>
      <c r="G137" s="51">
        <f>IFERROR(VLOOKUP(D137,'Stock Master'!$A$2:$L$49,5,FALSE)*F137,0)</f>
        <v/>
      </c>
      <c r="H137" s="51" t="n"/>
      <c r="I137" s="52" t="n"/>
      <c r="J137" s="51">
        <f>IFERROR(G137-H137,0)</f>
        <v/>
      </c>
      <c r="K137" s="52" t="n"/>
      <c r="L137" s="49">
        <f>IF(A137="","",IF(J137&lt;=0,"Paid",IF(AND(K137&lt;TODAY(),K137&lt;&gt;""),"Overdue","Open")))</f>
        <v/>
      </c>
      <c r="M137" s="49" t="n"/>
    </row>
    <row r="138">
      <c r="A138" s="52" t="n"/>
      <c r="B138" s="49" t="n"/>
      <c r="C138" s="49" t="n"/>
      <c r="D138" s="49" t="n"/>
      <c r="E138" s="49">
        <f>IFERROR(VLOOKUP(D138,'Stock Master'!$A$2:$L$49,2,FALSE),"")</f>
        <v/>
      </c>
      <c r="F138" s="49" t="n"/>
      <c r="G138" s="51">
        <f>IFERROR(VLOOKUP(D138,'Stock Master'!$A$2:$L$49,5,FALSE)*F138,0)</f>
        <v/>
      </c>
      <c r="H138" s="51" t="n"/>
      <c r="I138" s="52" t="n"/>
      <c r="J138" s="51">
        <f>IFERROR(G138-H138,0)</f>
        <v/>
      </c>
      <c r="K138" s="52" t="n"/>
      <c r="L138" s="49">
        <f>IF(A138="","",IF(J138&lt;=0,"Paid",IF(AND(K138&lt;TODAY(),K138&lt;&gt;""),"Overdue","Open")))</f>
        <v/>
      </c>
      <c r="M138" s="49" t="n"/>
    </row>
    <row r="139">
      <c r="A139" s="52" t="n"/>
      <c r="B139" s="49" t="n"/>
      <c r="C139" s="49" t="n"/>
      <c r="D139" s="49" t="n"/>
      <c r="E139" s="49">
        <f>IFERROR(VLOOKUP(D139,'Stock Master'!$A$2:$L$49,2,FALSE),"")</f>
        <v/>
      </c>
      <c r="F139" s="49" t="n"/>
      <c r="G139" s="51">
        <f>IFERROR(VLOOKUP(D139,'Stock Master'!$A$2:$L$49,5,FALSE)*F139,0)</f>
        <v/>
      </c>
      <c r="H139" s="51" t="n"/>
      <c r="I139" s="52" t="n"/>
      <c r="J139" s="51">
        <f>IFERROR(G139-H139,0)</f>
        <v/>
      </c>
      <c r="K139" s="52" t="n"/>
      <c r="L139" s="49">
        <f>IF(A139="","",IF(J139&lt;=0,"Paid",IF(AND(K139&lt;TODAY(),K139&lt;&gt;""),"Overdue","Open")))</f>
        <v/>
      </c>
      <c r="M139" s="49" t="n"/>
    </row>
    <row r="140">
      <c r="A140" s="52" t="n"/>
      <c r="B140" s="49" t="n"/>
      <c r="C140" s="49" t="n"/>
      <c r="D140" s="49" t="n"/>
      <c r="E140" s="49">
        <f>IFERROR(VLOOKUP(D140,'Stock Master'!$A$2:$L$49,2,FALSE),"")</f>
        <v/>
      </c>
      <c r="F140" s="49" t="n"/>
      <c r="G140" s="51">
        <f>IFERROR(VLOOKUP(D140,'Stock Master'!$A$2:$L$49,5,FALSE)*F140,0)</f>
        <v/>
      </c>
      <c r="H140" s="51" t="n"/>
      <c r="I140" s="52" t="n"/>
      <c r="J140" s="51">
        <f>IFERROR(G140-H140,0)</f>
        <v/>
      </c>
      <c r="K140" s="52" t="n"/>
      <c r="L140" s="49">
        <f>IF(A140="","",IF(J140&lt;=0,"Paid",IF(AND(K140&lt;TODAY(),K140&lt;&gt;""),"Overdue","Open")))</f>
        <v/>
      </c>
      <c r="M140" s="49" t="n"/>
    </row>
    <row r="141">
      <c r="A141" s="52" t="n"/>
      <c r="B141" s="49" t="n"/>
      <c r="C141" s="49" t="n"/>
      <c r="D141" s="49" t="n"/>
      <c r="E141" s="49">
        <f>IFERROR(VLOOKUP(D141,'Stock Master'!$A$2:$L$49,2,FALSE),"")</f>
        <v/>
      </c>
      <c r="F141" s="49" t="n"/>
      <c r="G141" s="51">
        <f>IFERROR(VLOOKUP(D141,'Stock Master'!$A$2:$L$49,5,FALSE)*F141,0)</f>
        <v/>
      </c>
      <c r="H141" s="51" t="n"/>
      <c r="I141" s="52" t="n"/>
      <c r="J141" s="51">
        <f>IFERROR(G141-H141,0)</f>
        <v/>
      </c>
      <c r="K141" s="52" t="n"/>
      <c r="L141" s="49">
        <f>IF(A141="","",IF(J141&lt;=0,"Paid",IF(AND(K141&lt;TODAY(),K141&lt;&gt;""),"Overdue","Open")))</f>
        <v/>
      </c>
      <c r="M141" s="49" t="n"/>
    </row>
    <row r="142">
      <c r="A142" s="52" t="n"/>
      <c r="B142" s="49" t="n"/>
      <c r="C142" s="49" t="n"/>
      <c r="D142" s="49" t="n"/>
      <c r="E142" s="49">
        <f>IFERROR(VLOOKUP(D142,'Stock Master'!$A$2:$L$49,2,FALSE),"")</f>
        <v/>
      </c>
      <c r="F142" s="49" t="n"/>
      <c r="G142" s="51">
        <f>IFERROR(VLOOKUP(D142,'Stock Master'!$A$2:$L$49,5,FALSE)*F142,0)</f>
        <v/>
      </c>
      <c r="H142" s="51" t="n"/>
      <c r="I142" s="52" t="n"/>
      <c r="J142" s="51">
        <f>IFERROR(G142-H142,0)</f>
        <v/>
      </c>
      <c r="K142" s="52" t="n"/>
      <c r="L142" s="49">
        <f>IF(A142="","",IF(J142&lt;=0,"Paid",IF(AND(K142&lt;TODAY(),K142&lt;&gt;""),"Overdue","Open")))</f>
        <v/>
      </c>
      <c r="M142" s="49" t="n"/>
    </row>
    <row r="143">
      <c r="A143" s="52" t="n"/>
      <c r="B143" s="49" t="n"/>
      <c r="C143" s="49" t="n"/>
      <c r="D143" s="49" t="n"/>
      <c r="E143" s="49">
        <f>IFERROR(VLOOKUP(D143,'Stock Master'!$A$2:$L$49,2,FALSE),"")</f>
        <v/>
      </c>
      <c r="F143" s="49" t="n"/>
      <c r="G143" s="51">
        <f>IFERROR(VLOOKUP(D143,'Stock Master'!$A$2:$L$49,5,FALSE)*F143,0)</f>
        <v/>
      </c>
      <c r="H143" s="51" t="n"/>
      <c r="I143" s="52" t="n"/>
      <c r="J143" s="51">
        <f>IFERROR(G143-H143,0)</f>
        <v/>
      </c>
      <c r="K143" s="52" t="n"/>
      <c r="L143" s="49">
        <f>IF(A143="","",IF(J143&lt;=0,"Paid",IF(AND(K143&lt;TODAY(),K143&lt;&gt;""),"Overdue","Open")))</f>
        <v/>
      </c>
      <c r="M143" s="49" t="n"/>
    </row>
    <row r="144">
      <c r="A144" s="52" t="n"/>
      <c r="B144" s="49" t="n"/>
      <c r="C144" s="49" t="n"/>
      <c r="D144" s="49" t="n"/>
      <c r="E144" s="49">
        <f>IFERROR(VLOOKUP(D144,'Stock Master'!$A$2:$L$49,2,FALSE),"")</f>
        <v/>
      </c>
      <c r="F144" s="49" t="n"/>
      <c r="G144" s="51">
        <f>IFERROR(VLOOKUP(D144,'Stock Master'!$A$2:$L$49,5,FALSE)*F144,0)</f>
        <v/>
      </c>
      <c r="H144" s="51" t="n"/>
      <c r="I144" s="52" t="n"/>
      <c r="J144" s="51">
        <f>IFERROR(G144-H144,0)</f>
        <v/>
      </c>
      <c r="K144" s="52" t="n"/>
      <c r="L144" s="49">
        <f>IF(A144="","",IF(J144&lt;=0,"Paid",IF(AND(K144&lt;TODAY(),K144&lt;&gt;""),"Overdue","Open")))</f>
        <v/>
      </c>
      <c r="M144" s="49" t="n"/>
    </row>
    <row r="145">
      <c r="A145" s="52" t="n"/>
      <c r="B145" s="49" t="n"/>
      <c r="C145" s="49" t="n"/>
      <c r="D145" s="49" t="n"/>
      <c r="E145" s="49">
        <f>IFERROR(VLOOKUP(D145,'Stock Master'!$A$2:$L$49,2,FALSE),"")</f>
        <v/>
      </c>
      <c r="F145" s="49" t="n"/>
      <c r="G145" s="51">
        <f>IFERROR(VLOOKUP(D145,'Stock Master'!$A$2:$L$49,5,FALSE)*F145,0)</f>
        <v/>
      </c>
      <c r="H145" s="51" t="n"/>
      <c r="I145" s="52" t="n"/>
      <c r="J145" s="51">
        <f>IFERROR(G145-H145,0)</f>
        <v/>
      </c>
      <c r="K145" s="52" t="n"/>
      <c r="L145" s="49">
        <f>IF(A145="","",IF(J145&lt;=0,"Paid",IF(AND(K145&lt;TODAY(),K145&lt;&gt;""),"Overdue","Open")))</f>
        <v/>
      </c>
      <c r="M145" s="49" t="n"/>
    </row>
    <row r="146">
      <c r="A146" s="52" t="n"/>
      <c r="B146" s="49" t="n"/>
      <c r="C146" s="49" t="n"/>
      <c r="D146" s="49" t="n"/>
      <c r="E146" s="49">
        <f>IFERROR(VLOOKUP(D146,'Stock Master'!$A$2:$L$49,2,FALSE),"")</f>
        <v/>
      </c>
      <c r="F146" s="49" t="n"/>
      <c r="G146" s="51">
        <f>IFERROR(VLOOKUP(D146,'Stock Master'!$A$2:$L$49,5,FALSE)*F146,0)</f>
        <v/>
      </c>
      <c r="H146" s="51" t="n"/>
      <c r="I146" s="52" t="n"/>
      <c r="J146" s="51">
        <f>IFERROR(G146-H146,0)</f>
        <v/>
      </c>
      <c r="K146" s="52" t="n"/>
      <c r="L146" s="49">
        <f>IF(A146="","",IF(J146&lt;=0,"Paid",IF(AND(K146&lt;TODAY(),K146&lt;&gt;""),"Overdue","Open")))</f>
        <v/>
      </c>
      <c r="M146" s="49" t="n"/>
    </row>
    <row r="147">
      <c r="A147" s="52" t="n"/>
      <c r="B147" s="49" t="n"/>
      <c r="C147" s="49" t="n"/>
      <c r="D147" s="49" t="n"/>
      <c r="E147" s="49">
        <f>IFERROR(VLOOKUP(D147,'Stock Master'!$A$2:$L$49,2,FALSE),"")</f>
        <v/>
      </c>
      <c r="F147" s="49" t="n"/>
      <c r="G147" s="51">
        <f>IFERROR(VLOOKUP(D147,'Stock Master'!$A$2:$L$49,5,FALSE)*F147,0)</f>
        <v/>
      </c>
      <c r="H147" s="51" t="n"/>
      <c r="I147" s="52" t="n"/>
      <c r="J147" s="51">
        <f>IFERROR(G147-H147,0)</f>
        <v/>
      </c>
      <c r="K147" s="52" t="n"/>
      <c r="L147" s="49">
        <f>IF(A147="","",IF(J147&lt;=0,"Paid",IF(AND(K147&lt;TODAY(),K147&lt;&gt;""),"Overdue","Open")))</f>
        <v/>
      </c>
      <c r="M147" s="49" t="n"/>
    </row>
    <row r="148">
      <c r="A148" s="52" t="n"/>
      <c r="B148" s="49" t="n"/>
      <c r="C148" s="49" t="n"/>
      <c r="D148" s="49" t="n"/>
      <c r="E148" s="49">
        <f>IFERROR(VLOOKUP(D148,'Stock Master'!$A$2:$L$49,2,FALSE),"")</f>
        <v/>
      </c>
      <c r="F148" s="49" t="n"/>
      <c r="G148" s="51">
        <f>IFERROR(VLOOKUP(D148,'Stock Master'!$A$2:$L$49,5,FALSE)*F148,0)</f>
        <v/>
      </c>
      <c r="H148" s="51" t="n"/>
      <c r="I148" s="52" t="n"/>
      <c r="J148" s="51">
        <f>IFERROR(G148-H148,0)</f>
        <v/>
      </c>
      <c r="K148" s="52" t="n"/>
      <c r="L148" s="49">
        <f>IF(A148="","",IF(J148&lt;=0,"Paid",IF(AND(K148&lt;TODAY(),K148&lt;&gt;""),"Overdue","Open")))</f>
        <v/>
      </c>
      <c r="M148" s="49" t="n"/>
    </row>
    <row r="149">
      <c r="A149" s="52" t="n"/>
      <c r="B149" s="49" t="n"/>
      <c r="C149" s="49" t="n"/>
      <c r="D149" s="49" t="n"/>
      <c r="E149" s="49">
        <f>IFERROR(VLOOKUP(D149,'Stock Master'!$A$2:$L$49,2,FALSE),"")</f>
        <v/>
      </c>
      <c r="F149" s="49" t="n"/>
      <c r="G149" s="51">
        <f>IFERROR(VLOOKUP(D149,'Stock Master'!$A$2:$L$49,5,FALSE)*F149,0)</f>
        <v/>
      </c>
      <c r="H149" s="51" t="n"/>
      <c r="I149" s="52" t="n"/>
      <c r="J149" s="51">
        <f>IFERROR(G149-H149,0)</f>
        <v/>
      </c>
      <c r="K149" s="52" t="n"/>
      <c r="L149" s="49">
        <f>IF(A149="","",IF(J149&lt;=0,"Paid",IF(AND(K149&lt;TODAY(),K149&lt;&gt;""),"Overdue","Open")))</f>
        <v/>
      </c>
      <c r="M149" s="49" t="n"/>
    </row>
    <row r="150">
      <c r="A150" s="52" t="n"/>
      <c r="B150" s="49" t="n"/>
      <c r="C150" s="49" t="n"/>
      <c r="D150" s="49" t="n"/>
      <c r="E150" s="49">
        <f>IFERROR(VLOOKUP(D150,'Stock Master'!$A$2:$L$49,2,FALSE),"")</f>
        <v/>
      </c>
      <c r="F150" s="49" t="n"/>
      <c r="G150" s="51">
        <f>IFERROR(VLOOKUP(D150,'Stock Master'!$A$2:$L$49,5,FALSE)*F150,0)</f>
        <v/>
      </c>
      <c r="H150" s="51" t="n"/>
      <c r="I150" s="52" t="n"/>
      <c r="J150" s="51">
        <f>IFERROR(G150-H150,0)</f>
        <v/>
      </c>
      <c r="K150" s="52" t="n"/>
      <c r="L150" s="49">
        <f>IF(A150="","",IF(J150&lt;=0,"Paid",IF(AND(K150&lt;TODAY(),K150&lt;&gt;""),"Overdue","Open")))</f>
        <v/>
      </c>
      <c r="M150" s="49" t="n"/>
    </row>
    <row r="151">
      <c r="A151" s="52" t="n"/>
      <c r="B151" s="49" t="n"/>
      <c r="C151" s="49" t="n"/>
      <c r="D151" s="49" t="n"/>
      <c r="E151" s="49">
        <f>IFERROR(VLOOKUP(D151,'Stock Master'!$A$2:$L$49,2,FALSE),"")</f>
        <v/>
      </c>
      <c r="F151" s="49" t="n"/>
      <c r="G151" s="51">
        <f>IFERROR(VLOOKUP(D151,'Stock Master'!$A$2:$L$49,5,FALSE)*F151,0)</f>
        <v/>
      </c>
      <c r="H151" s="51" t="n"/>
      <c r="I151" s="52" t="n"/>
      <c r="J151" s="51">
        <f>IFERROR(G151-H151,0)</f>
        <v/>
      </c>
      <c r="K151" s="52" t="n"/>
      <c r="L151" s="49">
        <f>IF(A151="","",IF(J151&lt;=0,"Paid",IF(AND(K151&lt;TODAY(),K151&lt;&gt;""),"Overdue","Open")))</f>
        <v/>
      </c>
      <c r="M151" s="49" t="n"/>
    </row>
    <row r="152">
      <c r="A152" s="52" t="n"/>
      <c r="B152" s="49" t="n"/>
      <c r="C152" s="49" t="n"/>
      <c r="D152" s="49" t="n"/>
      <c r="E152" s="49">
        <f>IFERROR(VLOOKUP(D152,'Stock Master'!$A$2:$L$49,2,FALSE),"")</f>
        <v/>
      </c>
      <c r="F152" s="49" t="n"/>
      <c r="G152" s="51">
        <f>IFERROR(VLOOKUP(D152,'Stock Master'!$A$2:$L$49,5,FALSE)*F152,0)</f>
        <v/>
      </c>
      <c r="H152" s="51" t="n"/>
      <c r="I152" s="52" t="n"/>
      <c r="J152" s="51">
        <f>IFERROR(G152-H152,0)</f>
        <v/>
      </c>
      <c r="K152" s="52" t="n"/>
      <c r="L152" s="49">
        <f>IF(A152="","",IF(J152&lt;=0,"Paid",IF(AND(K152&lt;TODAY(),K152&lt;&gt;""),"Overdue","Open")))</f>
        <v/>
      </c>
      <c r="M152" s="49" t="n"/>
    </row>
    <row r="153">
      <c r="A153" s="52" t="n"/>
      <c r="B153" s="49" t="n"/>
      <c r="C153" s="49" t="n"/>
      <c r="D153" s="49" t="n"/>
      <c r="E153" s="49">
        <f>IFERROR(VLOOKUP(D153,'Stock Master'!$A$2:$L$49,2,FALSE),"")</f>
        <v/>
      </c>
      <c r="F153" s="49" t="n"/>
      <c r="G153" s="51">
        <f>IFERROR(VLOOKUP(D153,'Stock Master'!$A$2:$L$49,5,FALSE)*F153,0)</f>
        <v/>
      </c>
      <c r="H153" s="51" t="n"/>
      <c r="I153" s="52" t="n"/>
      <c r="J153" s="51">
        <f>IFERROR(G153-H153,0)</f>
        <v/>
      </c>
      <c r="K153" s="52" t="n"/>
      <c r="L153" s="49">
        <f>IF(A153="","",IF(J153&lt;=0,"Paid",IF(AND(K153&lt;TODAY(),K153&lt;&gt;""),"Overdue","Open")))</f>
        <v/>
      </c>
      <c r="M153" s="49" t="n"/>
    </row>
    <row r="154">
      <c r="A154" s="52" t="n"/>
      <c r="B154" s="49" t="n"/>
      <c r="C154" s="49" t="n"/>
      <c r="D154" s="49" t="n"/>
      <c r="E154" s="49">
        <f>IFERROR(VLOOKUP(D154,'Stock Master'!$A$2:$L$49,2,FALSE),"")</f>
        <v/>
      </c>
      <c r="F154" s="49" t="n"/>
      <c r="G154" s="51">
        <f>IFERROR(VLOOKUP(D154,'Stock Master'!$A$2:$L$49,5,FALSE)*F154,0)</f>
        <v/>
      </c>
      <c r="H154" s="51" t="n"/>
      <c r="I154" s="52" t="n"/>
      <c r="J154" s="51">
        <f>IFERROR(G154-H154,0)</f>
        <v/>
      </c>
      <c r="K154" s="52" t="n"/>
      <c r="L154" s="49">
        <f>IF(A154="","",IF(J154&lt;=0,"Paid",IF(AND(K154&lt;TODAY(),K154&lt;&gt;""),"Overdue","Open")))</f>
        <v/>
      </c>
      <c r="M154" s="49" t="n"/>
    </row>
    <row r="155">
      <c r="A155" s="52" t="n"/>
      <c r="B155" s="49" t="n"/>
      <c r="C155" s="49" t="n"/>
      <c r="D155" s="49" t="n"/>
      <c r="E155" s="49">
        <f>IFERROR(VLOOKUP(D155,'Stock Master'!$A$2:$L$49,2,FALSE),"")</f>
        <v/>
      </c>
      <c r="F155" s="49" t="n"/>
      <c r="G155" s="51">
        <f>IFERROR(VLOOKUP(D155,'Stock Master'!$A$2:$L$49,5,FALSE)*F155,0)</f>
        <v/>
      </c>
      <c r="H155" s="51" t="n"/>
      <c r="I155" s="52" t="n"/>
      <c r="J155" s="51">
        <f>IFERROR(G155-H155,0)</f>
        <v/>
      </c>
      <c r="K155" s="52" t="n"/>
      <c r="L155" s="49">
        <f>IF(A155="","",IF(J155&lt;=0,"Paid",IF(AND(K155&lt;TODAY(),K155&lt;&gt;""),"Overdue","Open")))</f>
        <v/>
      </c>
      <c r="M155" s="49" t="n"/>
    </row>
    <row r="156">
      <c r="A156" s="52" t="n"/>
      <c r="B156" s="49" t="n"/>
      <c r="C156" s="49" t="n"/>
      <c r="D156" s="49" t="n"/>
      <c r="E156" s="49">
        <f>IFERROR(VLOOKUP(D156,'Stock Master'!$A$2:$L$49,2,FALSE),"")</f>
        <v/>
      </c>
      <c r="F156" s="49" t="n"/>
      <c r="G156" s="51">
        <f>IFERROR(VLOOKUP(D156,'Stock Master'!$A$2:$L$49,5,FALSE)*F156,0)</f>
        <v/>
      </c>
      <c r="H156" s="51" t="n"/>
      <c r="I156" s="52" t="n"/>
      <c r="J156" s="51">
        <f>IFERROR(G156-H156,0)</f>
        <v/>
      </c>
      <c r="K156" s="52" t="n"/>
      <c r="L156" s="49">
        <f>IF(A156="","",IF(J156&lt;=0,"Paid",IF(AND(K156&lt;TODAY(),K156&lt;&gt;""),"Overdue","Open")))</f>
        <v/>
      </c>
      <c r="M156" s="49" t="n"/>
    </row>
    <row r="157">
      <c r="A157" s="52" t="n"/>
      <c r="B157" s="49" t="n"/>
      <c r="C157" s="49" t="n"/>
      <c r="D157" s="49" t="n"/>
      <c r="E157" s="49">
        <f>IFERROR(VLOOKUP(D157,'Stock Master'!$A$2:$L$49,2,FALSE),"")</f>
        <v/>
      </c>
      <c r="F157" s="49" t="n"/>
      <c r="G157" s="51">
        <f>IFERROR(VLOOKUP(D157,'Stock Master'!$A$2:$L$49,5,FALSE)*F157,0)</f>
        <v/>
      </c>
      <c r="H157" s="51" t="n"/>
      <c r="I157" s="52" t="n"/>
      <c r="J157" s="51">
        <f>IFERROR(G157-H157,0)</f>
        <v/>
      </c>
      <c r="K157" s="52" t="n"/>
      <c r="L157" s="49">
        <f>IF(A157="","",IF(J157&lt;=0,"Paid",IF(AND(K157&lt;TODAY(),K157&lt;&gt;""),"Overdue","Open")))</f>
        <v/>
      </c>
      <c r="M157" s="49" t="n"/>
    </row>
    <row r="158">
      <c r="A158" s="52" t="n"/>
      <c r="B158" s="49" t="n"/>
      <c r="C158" s="49" t="n"/>
      <c r="D158" s="49" t="n"/>
      <c r="E158" s="49">
        <f>IFERROR(VLOOKUP(D158,'Stock Master'!$A$2:$L$49,2,FALSE),"")</f>
        <v/>
      </c>
      <c r="F158" s="49" t="n"/>
      <c r="G158" s="51">
        <f>IFERROR(VLOOKUP(D158,'Stock Master'!$A$2:$L$49,5,FALSE)*F158,0)</f>
        <v/>
      </c>
      <c r="H158" s="51" t="n"/>
      <c r="I158" s="52" t="n"/>
      <c r="J158" s="51">
        <f>IFERROR(G158-H158,0)</f>
        <v/>
      </c>
      <c r="K158" s="52" t="n"/>
      <c r="L158" s="49">
        <f>IF(A158="","",IF(J158&lt;=0,"Paid",IF(AND(K158&lt;TODAY(),K158&lt;&gt;""),"Overdue","Open")))</f>
        <v/>
      </c>
      <c r="M158" s="49" t="n"/>
    </row>
    <row r="159">
      <c r="A159" s="52" t="n"/>
      <c r="B159" s="49" t="n"/>
      <c r="C159" s="49" t="n"/>
      <c r="D159" s="49" t="n"/>
      <c r="E159" s="49">
        <f>IFERROR(VLOOKUP(D159,'Stock Master'!$A$2:$L$49,2,FALSE),"")</f>
        <v/>
      </c>
      <c r="F159" s="49" t="n"/>
      <c r="G159" s="51">
        <f>IFERROR(VLOOKUP(D159,'Stock Master'!$A$2:$L$49,5,FALSE)*F159,0)</f>
        <v/>
      </c>
      <c r="H159" s="51" t="n"/>
      <c r="I159" s="52" t="n"/>
      <c r="J159" s="51">
        <f>IFERROR(G159-H159,0)</f>
        <v/>
      </c>
      <c r="K159" s="52" t="n"/>
      <c r="L159" s="49">
        <f>IF(A159="","",IF(J159&lt;=0,"Paid",IF(AND(K159&lt;TODAY(),K159&lt;&gt;""),"Overdue","Open")))</f>
        <v/>
      </c>
      <c r="M159" s="49" t="n"/>
    </row>
    <row r="160">
      <c r="A160" s="52" t="n"/>
      <c r="B160" s="49" t="n"/>
      <c r="C160" s="49" t="n"/>
      <c r="D160" s="49" t="n"/>
      <c r="E160" s="49">
        <f>IFERROR(VLOOKUP(D160,'Stock Master'!$A$2:$L$49,2,FALSE),"")</f>
        <v/>
      </c>
      <c r="F160" s="49" t="n"/>
      <c r="G160" s="51">
        <f>IFERROR(VLOOKUP(D160,'Stock Master'!$A$2:$L$49,5,FALSE)*F160,0)</f>
        <v/>
      </c>
      <c r="H160" s="51" t="n"/>
      <c r="I160" s="52" t="n"/>
      <c r="J160" s="51">
        <f>IFERROR(G160-H160,0)</f>
        <v/>
      </c>
      <c r="K160" s="52" t="n"/>
      <c r="L160" s="49">
        <f>IF(A160="","",IF(J160&lt;=0,"Paid",IF(AND(K160&lt;TODAY(),K160&lt;&gt;""),"Overdue","Open")))</f>
        <v/>
      </c>
      <c r="M160" s="49" t="n"/>
    </row>
    <row r="161">
      <c r="A161" s="52" t="n"/>
      <c r="B161" s="49" t="n"/>
      <c r="C161" s="49" t="n"/>
      <c r="D161" s="49" t="n"/>
      <c r="E161" s="49">
        <f>IFERROR(VLOOKUP(D161,'Stock Master'!$A$2:$L$49,2,FALSE),"")</f>
        <v/>
      </c>
      <c r="F161" s="49" t="n"/>
      <c r="G161" s="51">
        <f>IFERROR(VLOOKUP(D161,'Stock Master'!$A$2:$L$49,5,FALSE)*F161,0)</f>
        <v/>
      </c>
      <c r="H161" s="51" t="n"/>
      <c r="I161" s="52" t="n"/>
      <c r="J161" s="51">
        <f>IFERROR(G161-H161,0)</f>
        <v/>
      </c>
      <c r="K161" s="52" t="n"/>
      <c r="L161" s="49">
        <f>IF(A161="","",IF(J161&lt;=0,"Paid",IF(AND(K161&lt;TODAY(),K161&lt;&gt;""),"Overdue","Open")))</f>
        <v/>
      </c>
      <c r="M161" s="49" t="n"/>
    </row>
    <row r="162">
      <c r="A162" s="52" t="n"/>
      <c r="B162" s="49" t="n"/>
      <c r="C162" s="49" t="n"/>
      <c r="D162" s="49" t="n"/>
      <c r="E162" s="49">
        <f>IFERROR(VLOOKUP(D162,'Stock Master'!$A$2:$L$49,2,FALSE),"")</f>
        <v/>
      </c>
      <c r="F162" s="49" t="n"/>
      <c r="G162" s="51">
        <f>IFERROR(VLOOKUP(D162,'Stock Master'!$A$2:$L$49,5,FALSE)*F162,0)</f>
        <v/>
      </c>
      <c r="H162" s="51" t="n"/>
      <c r="I162" s="52" t="n"/>
      <c r="J162" s="51">
        <f>IFERROR(G162-H162,0)</f>
        <v/>
      </c>
      <c r="K162" s="52" t="n"/>
      <c r="L162" s="49">
        <f>IF(A162="","",IF(J162&lt;=0,"Paid",IF(AND(K162&lt;TODAY(),K162&lt;&gt;""),"Overdue","Open")))</f>
        <v/>
      </c>
      <c r="M162" s="49" t="n"/>
    </row>
    <row r="163">
      <c r="A163" s="52" t="n"/>
      <c r="B163" s="49" t="n"/>
      <c r="C163" s="49" t="n"/>
      <c r="D163" s="49" t="n"/>
      <c r="E163" s="49">
        <f>IFERROR(VLOOKUP(D163,'Stock Master'!$A$2:$L$49,2,FALSE),"")</f>
        <v/>
      </c>
      <c r="F163" s="49" t="n"/>
      <c r="G163" s="51">
        <f>IFERROR(VLOOKUP(D163,'Stock Master'!$A$2:$L$49,5,FALSE)*F163,0)</f>
        <v/>
      </c>
      <c r="H163" s="51" t="n"/>
      <c r="I163" s="52" t="n"/>
      <c r="J163" s="51">
        <f>IFERROR(G163-H163,0)</f>
        <v/>
      </c>
      <c r="K163" s="52" t="n"/>
      <c r="L163" s="49">
        <f>IF(A163="","",IF(J163&lt;=0,"Paid",IF(AND(K163&lt;TODAY(),K163&lt;&gt;""),"Overdue","Open")))</f>
        <v/>
      </c>
      <c r="M163" s="49" t="n"/>
    </row>
    <row r="164">
      <c r="A164" s="52" t="n"/>
      <c r="B164" s="49" t="n"/>
      <c r="C164" s="49" t="n"/>
      <c r="D164" s="49" t="n"/>
      <c r="E164" s="49">
        <f>IFERROR(VLOOKUP(D164,'Stock Master'!$A$2:$L$49,2,FALSE),"")</f>
        <v/>
      </c>
      <c r="F164" s="49" t="n"/>
      <c r="G164" s="51">
        <f>IFERROR(VLOOKUP(D164,'Stock Master'!$A$2:$L$49,5,FALSE)*F164,0)</f>
        <v/>
      </c>
      <c r="H164" s="51" t="n"/>
      <c r="I164" s="52" t="n"/>
      <c r="J164" s="51">
        <f>IFERROR(G164-H164,0)</f>
        <v/>
      </c>
      <c r="K164" s="52" t="n"/>
      <c r="L164" s="49">
        <f>IF(A164="","",IF(J164&lt;=0,"Paid",IF(AND(K164&lt;TODAY(),K164&lt;&gt;""),"Overdue","Open")))</f>
        <v/>
      </c>
      <c r="M164" s="49" t="n"/>
    </row>
    <row r="165">
      <c r="A165" s="52" t="n"/>
      <c r="B165" s="49" t="n"/>
      <c r="C165" s="49" t="n"/>
      <c r="D165" s="49" t="n"/>
      <c r="E165" s="49">
        <f>IFERROR(VLOOKUP(D165,'Stock Master'!$A$2:$L$49,2,FALSE),"")</f>
        <v/>
      </c>
      <c r="F165" s="49" t="n"/>
      <c r="G165" s="51">
        <f>IFERROR(VLOOKUP(D165,'Stock Master'!$A$2:$L$49,5,FALSE)*F165,0)</f>
        <v/>
      </c>
      <c r="H165" s="51" t="n"/>
      <c r="I165" s="52" t="n"/>
      <c r="J165" s="51">
        <f>IFERROR(G165-H165,0)</f>
        <v/>
      </c>
      <c r="K165" s="52" t="n"/>
      <c r="L165" s="49">
        <f>IF(A165="","",IF(J165&lt;=0,"Paid",IF(AND(K165&lt;TODAY(),K165&lt;&gt;""),"Overdue","Open")))</f>
        <v/>
      </c>
      <c r="M165" s="49" t="n"/>
    </row>
    <row r="166">
      <c r="A166" s="52" t="n"/>
      <c r="B166" s="49" t="n"/>
      <c r="C166" s="49" t="n"/>
      <c r="D166" s="49" t="n"/>
      <c r="E166" s="49">
        <f>IFERROR(VLOOKUP(D166,'Stock Master'!$A$2:$L$49,2,FALSE),"")</f>
        <v/>
      </c>
      <c r="F166" s="49" t="n"/>
      <c r="G166" s="51">
        <f>IFERROR(VLOOKUP(D166,'Stock Master'!$A$2:$L$49,5,FALSE)*F166,0)</f>
        <v/>
      </c>
      <c r="H166" s="51" t="n"/>
      <c r="I166" s="52" t="n"/>
      <c r="J166" s="51">
        <f>IFERROR(G166-H166,0)</f>
        <v/>
      </c>
      <c r="K166" s="52" t="n"/>
      <c r="L166" s="49">
        <f>IF(A166="","",IF(J166&lt;=0,"Paid",IF(AND(K166&lt;TODAY(),K166&lt;&gt;""),"Overdue","Open")))</f>
        <v/>
      </c>
      <c r="M166" s="49" t="n"/>
    </row>
    <row r="167">
      <c r="A167" s="52" t="n"/>
      <c r="B167" s="49" t="n"/>
      <c r="C167" s="49" t="n"/>
      <c r="D167" s="49" t="n"/>
      <c r="E167" s="49">
        <f>IFERROR(VLOOKUP(D167,'Stock Master'!$A$2:$L$49,2,FALSE),"")</f>
        <v/>
      </c>
      <c r="F167" s="49" t="n"/>
      <c r="G167" s="51">
        <f>IFERROR(VLOOKUP(D167,'Stock Master'!$A$2:$L$49,5,FALSE)*F167,0)</f>
        <v/>
      </c>
      <c r="H167" s="51" t="n"/>
      <c r="I167" s="52" t="n"/>
      <c r="J167" s="51">
        <f>IFERROR(G167-H167,0)</f>
        <v/>
      </c>
      <c r="K167" s="52" t="n"/>
      <c r="L167" s="49">
        <f>IF(A167="","",IF(J167&lt;=0,"Paid",IF(AND(K167&lt;TODAY(),K167&lt;&gt;""),"Overdue","Open")))</f>
        <v/>
      </c>
      <c r="M167" s="49" t="n"/>
    </row>
    <row r="168">
      <c r="A168" s="52" t="n"/>
      <c r="B168" s="49" t="n"/>
      <c r="C168" s="49" t="n"/>
      <c r="D168" s="49" t="n"/>
      <c r="E168" s="49">
        <f>IFERROR(VLOOKUP(D168,'Stock Master'!$A$2:$L$49,2,FALSE),"")</f>
        <v/>
      </c>
      <c r="F168" s="49" t="n"/>
      <c r="G168" s="51">
        <f>IFERROR(VLOOKUP(D168,'Stock Master'!$A$2:$L$49,5,FALSE)*F168,0)</f>
        <v/>
      </c>
      <c r="H168" s="51" t="n"/>
      <c r="I168" s="52" t="n"/>
      <c r="J168" s="51">
        <f>IFERROR(G168-H168,0)</f>
        <v/>
      </c>
      <c r="K168" s="52" t="n"/>
      <c r="L168" s="49">
        <f>IF(A168="","",IF(J168&lt;=0,"Paid",IF(AND(K168&lt;TODAY(),K168&lt;&gt;""),"Overdue","Open")))</f>
        <v/>
      </c>
      <c r="M168" s="49" t="n"/>
    </row>
    <row r="169">
      <c r="A169" s="52" t="n"/>
      <c r="B169" s="49" t="n"/>
      <c r="C169" s="49" t="n"/>
      <c r="D169" s="49" t="n"/>
      <c r="E169" s="49">
        <f>IFERROR(VLOOKUP(D169,'Stock Master'!$A$2:$L$49,2,FALSE),"")</f>
        <v/>
      </c>
      <c r="F169" s="49" t="n"/>
      <c r="G169" s="51">
        <f>IFERROR(VLOOKUP(D169,'Stock Master'!$A$2:$L$49,5,FALSE)*F169,0)</f>
        <v/>
      </c>
      <c r="H169" s="51" t="n"/>
      <c r="I169" s="52" t="n"/>
      <c r="J169" s="51">
        <f>IFERROR(G169-H169,0)</f>
        <v/>
      </c>
      <c r="K169" s="52" t="n"/>
      <c r="L169" s="49">
        <f>IF(A169="","",IF(J169&lt;=0,"Paid",IF(AND(K169&lt;TODAY(),K169&lt;&gt;""),"Overdue","Open")))</f>
        <v/>
      </c>
      <c r="M169" s="49" t="n"/>
    </row>
    <row r="170">
      <c r="A170" s="52" t="n"/>
      <c r="B170" s="49" t="n"/>
      <c r="C170" s="49" t="n"/>
      <c r="D170" s="49" t="n"/>
      <c r="E170" s="49">
        <f>IFERROR(VLOOKUP(D170,'Stock Master'!$A$2:$L$49,2,FALSE),"")</f>
        <v/>
      </c>
      <c r="F170" s="49" t="n"/>
      <c r="G170" s="51">
        <f>IFERROR(VLOOKUP(D170,'Stock Master'!$A$2:$L$49,5,FALSE)*F170,0)</f>
        <v/>
      </c>
      <c r="H170" s="51" t="n"/>
      <c r="I170" s="52" t="n"/>
      <c r="J170" s="51">
        <f>IFERROR(G170-H170,0)</f>
        <v/>
      </c>
      <c r="K170" s="52" t="n"/>
      <c r="L170" s="49">
        <f>IF(A170="","",IF(J170&lt;=0,"Paid",IF(AND(K170&lt;TODAY(),K170&lt;&gt;""),"Overdue","Open")))</f>
        <v/>
      </c>
      <c r="M170" s="49" t="n"/>
    </row>
    <row r="171">
      <c r="A171" s="52" t="n"/>
      <c r="B171" s="49" t="n"/>
      <c r="C171" s="49" t="n"/>
      <c r="D171" s="49" t="n"/>
      <c r="E171" s="49">
        <f>IFERROR(VLOOKUP(D171,'Stock Master'!$A$2:$L$49,2,FALSE),"")</f>
        <v/>
      </c>
      <c r="F171" s="49" t="n"/>
      <c r="G171" s="51">
        <f>IFERROR(VLOOKUP(D171,'Stock Master'!$A$2:$L$49,5,FALSE)*F171,0)</f>
        <v/>
      </c>
      <c r="H171" s="51" t="n"/>
      <c r="I171" s="52" t="n"/>
      <c r="J171" s="51">
        <f>IFERROR(G171-H171,0)</f>
        <v/>
      </c>
      <c r="K171" s="52" t="n"/>
      <c r="L171" s="49">
        <f>IF(A171="","",IF(J171&lt;=0,"Paid",IF(AND(K171&lt;TODAY(),K171&lt;&gt;""),"Overdue","Open")))</f>
        <v/>
      </c>
      <c r="M171" s="49" t="n"/>
    </row>
    <row r="172">
      <c r="A172" s="52" t="n"/>
      <c r="B172" s="49" t="n"/>
      <c r="C172" s="49" t="n"/>
      <c r="D172" s="49" t="n"/>
      <c r="E172" s="49">
        <f>IFERROR(VLOOKUP(D172,'Stock Master'!$A$2:$L$49,2,FALSE),"")</f>
        <v/>
      </c>
      <c r="F172" s="49" t="n"/>
      <c r="G172" s="51">
        <f>IFERROR(VLOOKUP(D172,'Stock Master'!$A$2:$L$49,5,FALSE)*F172,0)</f>
        <v/>
      </c>
      <c r="H172" s="51" t="n"/>
      <c r="I172" s="52" t="n"/>
      <c r="J172" s="51">
        <f>IFERROR(G172-H172,0)</f>
        <v/>
      </c>
      <c r="K172" s="52" t="n"/>
      <c r="L172" s="49">
        <f>IF(A172="","",IF(J172&lt;=0,"Paid",IF(AND(K172&lt;TODAY(),K172&lt;&gt;""),"Overdue","Open")))</f>
        <v/>
      </c>
      <c r="M172" s="49" t="n"/>
    </row>
    <row r="173">
      <c r="A173" s="52" t="n"/>
      <c r="B173" s="49" t="n"/>
      <c r="C173" s="49" t="n"/>
      <c r="D173" s="49" t="n"/>
      <c r="E173" s="49">
        <f>IFERROR(VLOOKUP(D173,'Stock Master'!$A$2:$L$49,2,FALSE),"")</f>
        <v/>
      </c>
      <c r="F173" s="49" t="n"/>
      <c r="G173" s="51">
        <f>IFERROR(VLOOKUP(D173,'Stock Master'!$A$2:$L$49,5,FALSE)*F173,0)</f>
        <v/>
      </c>
      <c r="H173" s="51" t="n"/>
      <c r="I173" s="52" t="n"/>
      <c r="J173" s="51">
        <f>IFERROR(G173-H173,0)</f>
        <v/>
      </c>
      <c r="K173" s="52" t="n"/>
      <c r="L173" s="49">
        <f>IF(A173="","",IF(J173&lt;=0,"Paid",IF(AND(K173&lt;TODAY(),K173&lt;&gt;""),"Overdue","Open")))</f>
        <v/>
      </c>
      <c r="M173" s="49" t="n"/>
    </row>
    <row r="174">
      <c r="A174" s="52" t="n"/>
      <c r="B174" s="49" t="n"/>
      <c r="C174" s="49" t="n"/>
      <c r="D174" s="49" t="n"/>
      <c r="E174" s="49">
        <f>IFERROR(VLOOKUP(D174,'Stock Master'!$A$2:$L$49,2,FALSE),"")</f>
        <v/>
      </c>
      <c r="F174" s="49" t="n"/>
      <c r="G174" s="51">
        <f>IFERROR(VLOOKUP(D174,'Stock Master'!$A$2:$L$49,5,FALSE)*F174,0)</f>
        <v/>
      </c>
      <c r="H174" s="51" t="n"/>
      <c r="I174" s="52" t="n"/>
      <c r="J174" s="51">
        <f>IFERROR(G174-H174,0)</f>
        <v/>
      </c>
      <c r="K174" s="52" t="n"/>
      <c r="L174" s="49">
        <f>IF(A174="","",IF(J174&lt;=0,"Paid",IF(AND(K174&lt;TODAY(),K174&lt;&gt;""),"Overdue","Open")))</f>
        <v/>
      </c>
      <c r="M174" s="49" t="n"/>
    </row>
    <row r="175">
      <c r="A175" s="52" t="n"/>
      <c r="B175" s="49" t="n"/>
      <c r="C175" s="49" t="n"/>
      <c r="D175" s="49" t="n"/>
      <c r="E175" s="49">
        <f>IFERROR(VLOOKUP(D175,'Stock Master'!$A$2:$L$49,2,FALSE),"")</f>
        <v/>
      </c>
      <c r="F175" s="49" t="n"/>
      <c r="G175" s="51">
        <f>IFERROR(VLOOKUP(D175,'Stock Master'!$A$2:$L$49,5,FALSE)*F175,0)</f>
        <v/>
      </c>
      <c r="H175" s="51" t="n"/>
      <c r="I175" s="52" t="n"/>
      <c r="J175" s="51">
        <f>IFERROR(G175-H175,0)</f>
        <v/>
      </c>
      <c r="K175" s="52" t="n"/>
      <c r="L175" s="49">
        <f>IF(A175="","",IF(J175&lt;=0,"Paid",IF(AND(K175&lt;TODAY(),K175&lt;&gt;""),"Overdue","Open")))</f>
        <v/>
      </c>
      <c r="M175" s="49" t="n"/>
    </row>
    <row r="176">
      <c r="A176" s="52" t="n"/>
      <c r="B176" s="49" t="n"/>
      <c r="C176" s="49" t="n"/>
      <c r="D176" s="49" t="n"/>
      <c r="E176" s="49">
        <f>IFERROR(VLOOKUP(D176,'Stock Master'!$A$2:$L$49,2,FALSE),"")</f>
        <v/>
      </c>
      <c r="F176" s="49" t="n"/>
      <c r="G176" s="51">
        <f>IFERROR(VLOOKUP(D176,'Stock Master'!$A$2:$L$49,5,FALSE)*F176,0)</f>
        <v/>
      </c>
      <c r="H176" s="51" t="n"/>
      <c r="I176" s="52" t="n"/>
      <c r="J176" s="51">
        <f>IFERROR(G176-H176,0)</f>
        <v/>
      </c>
      <c r="K176" s="52" t="n"/>
      <c r="L176" s="49">
        <f>IF(A176="","",IF(J176&lt;=0,"Paid",IF(AND(K176&lt;TODAY(),K176&lt;&gt;""),"Overdue","Open")))</f>
        <v/>
      </c>
      <c r="M176" s="49" t="n"/>
    </row>
    <row r="177">
      <c r="A177" s="52" t="n"/>
      <c r="B177" s="49" t="n"/>
      <c r="C177" s="49" t="n"/>
      <c r="D177" s="49" t="n"/>
      <c r="E177" s="49">
        <f>IFERROR(VLOOKUP(D177,'Stock Master'!$A$2:$L$49,2,FALSE),"")</f>
        <v/>
      </c>
      <c r="F177" s="49" t="n"/>
      <c r="G177" s="51">
        <f>IFERROR(VLOOKUP(D177,'Stock Master'!$A$2:$L$49,5,FALSE)*F177,0)</f>
        <v/>
      </c>
      <c r="H177" s="51" t="n"/>
      <c r="I177" s="52" t="n"/>
      <c r="J177" s="51">
        <f>IFERROR(G177-H177,0)</f>
        <v/>
      </c>
      <c r="K177" s="52" t="n"/>
      <c r="L177" s="49">
        <f>IF(A177="","",IF(J177&lt;=0,"Paid",IF(AND(K177&lt;TODAY(),K177&lt;&gt;""),"Overdue","Open")))</f>
        <v/>
      </c>
      <c r="M177" s="49" t="n"/>
    </row>
    <row r="178">
      <c r="A178" s="52" t="n"/>
      <c r="B178" s="49" t="n"/>
      <c r="C178" s="49" t="n"/>
      <c r="D178" s="49" t="n"/>
      <c r="E178" s="49">
        <f>IFERROR(VLOOKUP(D178,'Stock Master'!$A$2:$L$49,2,FALSE),"")</f>
        <v/>
      </c>
      <c r="F178" s="49" t="n"/>
      <c r="G178" s="51">
        <f>IFERROR(VLOOKUP(D178,'Stock Master'!$A$2:$L$49,5,FALSE)*F178,0)</f>
        <v/>
      </c>
      <c r="H178" s="51" t="n"/>
      <c r="I178" s="52" t="n"/>
      <c r="J178" s="51">
        <f>IFERROR(G178-H178,0)</f>
        <v/>
      </c>
      <c r="K178" s="52" t="n"/>
      <c r="L178" s="49">
        <f>IF(A178="","",IF(J178&lt;=0,"Paid",IF(AND(K178&lt;TODAY(),K178&lt;&gt;""),"Overdue","Open")))</f>
        <v/>
      </c>
      <c r="M178" s="49" t="n"/>
    </row>
    <row r="179">
      <c r="A179" s="52" t="n"/>
      <c r="B179" s="49" t="n"/>
      <c r="C179" s="49" t="n"/>
      <c r="D179" s="49" t="n"/>
      <c r="E179" s="49">
        <f>IFERROR(VLOOKUP(D179,'Stock Master'!$A$2:$L$49,2,FALSE),"")</f>
        <v/>
      </c>
      <c r="F179" s="49" t="n"/>
      <c r="G179" s="51">
        <f>IFERROR(VLOOKUP(D179,'Stock Master'!$A$2:$L$49,5,FALSE)*F179,0)</f>
        <v/>
      </c>
      <c r="H179" s="51" t="n"/>
      <c r="I179" s="52" t="n"/>
      <c r="J179" s="51">
        <f>IFERROR(G179-H179,0)</f>
        <v/>
      </c>
      <c r="K179" s="52" t="n"/>
      <c r="L179" s="49">
        <f>IF(A179="","",IF(J179&lt;=0,"Paid",IF(AND(K179&lt;TODAY(),K179&lt;&gt;""),"Overdue","Open")))</f>
        <v/>
      </c>
      <c r="M179" s="49" t="n"/>
    </row>
    <row r="180">
      <c r="A180" s="52" t="n"/>
      <c r="B180" s="49" t="n"/>
      <c r="C180" s="49" t="n"/>
      <c r="D180" s="49" t="n"/>
      <c r="E180" s="49">
        <f>IFERROR(VLOOKUP(D180,'Stock Master'!$A$2:$L$49,2,FALSE),"")</f>
        <v/>
      </c>
      <c r="F180" s="49" t="n"/>
      <c r="G180" s="51">
        <f>IFERROR(VLOOKUP(D180,'Stock Master'!$A$2:$L$49,5,FALSE)*F180,0)</f>
        <v/>
      </c>
      <c r="H180" s="51" t="n"/>
      <c r="I180" s="52" t="n"/>
      <c r="J180" s="51">
        <f>IFERROR(G180-H180,0)</f>
        <v/>
      </c>
      <c r="K180" s="52" t="n"/>
      <c r="L180" s="49">
        <f>IF(A180="","",IF(J180&lt;=0,"Paid",IF(AND(K180&lt;TODAY(),K180&lt;&gt;""),"Overdue","Open")))</f>
        <v/>
      </c>
      <c r="M180" s="49" t="n"/>
    </row>
    <row r="181">
      <c r="A181" s="52" t="n"/>
      <c r="B181" s="49" t="n"/>
      <c r="C181" s="49" t="n"/>
      <c r="D181" s="49" t="n"/>
      <c r="E181" s="49">
        <f>IFERROR(VLOOKUP(D181,'Stock Master'!$A$2:$L$49,2,FALSE),"")</f>
        <v/>
      </c>
      <c r="F181" s="49" t="n"/>
      <c r="G181" s="51">
        <f>IFERROR(VLOOKUP(D181,'Stock Master'!$A$2:$L$49,5,FALSE)*F181,0)</f>
        <v/>
      </c>
      <c r="H181" s="51" t="n"/>
      <c r="I181" s="52" t="n"/>
      <c r="J181" s="51">
        <f>IFERROR(G181-H181,0)</f>
        <v/>
      </c>
      <c r="K181" s="52" t="n"/>
      <c r="L181" s="49">
        <f>IF(A181="","",IF(J181&lt;=0,"Paid",IF(AND(K181&lt;TODAY(),K181&lt;&gt;""),"Overdue","Open")))</f>
        <v/>
      </c>
      <c r="M181" s="49" t="n"/>
    </row>
    <row r="182">
      <c r="A182" s="52" t="n"/>
      <c r="B182" s="49" t="n"/>
      <c r="C182" s="49" t="n"/>
      <c r="D182" s="49" t="n"/>
      <c r="E182" s="49">
        <f>IFERROR(VLOOKUP(D182,'Stock Master'!$A$2:$L$49,2,FALSE),"")</f>
        <v/>
      </c>
      <c r="F182" s="49" t="n"/>
      <c r="G182" s="51">
        <f>IFERROR(VLOOKUP(D182,'Stock Master'!$A$2:$L$49,5,FALSE)*F182,0)</f>
        <v/>
      </c>
      <c r="H182" s="51" t="n"/>
      <c r="I182" s="52" t="n"/>
      <c r="J182" s="51">
        <f>IFERROR(G182-H182,0)</f>
        <v/>
      </c>
      <c r="K182" s="52" t="n"/>
      <c r="L182" s="49">
        <f>IF(A182="","",IF(J182&lt;=0,"Paid",IF(AND(K182&lt;TODAY(),K182&lt;&gt;""),"Overdue","Open")))</f>
        <v/>
      </c>
      <c r="M182" s="49" t="n"/>
    </row>
    <row r="183">
      <c r="A183" s="52" t="n"/>
      <c r="B183" s="49" t="n"/>
      <c r="C183" s="49" t="n"/>
      <c r="D183" s="49" t="n"/>
      <c r="E183" s="49">
        <f>IFERROR(VLOOKUP(D183,'Stock Master'!$A$2:$L$49,2,FALSE),"")</f>
        <v/>
      </c>
      <c r="F183" s="49" t="n"/>
      <c r="G183" s="51">
        <f>IFERROR(VLOOKUP(D183,'Stock Master'!$A$2:$L$49,5,FALSE)*F183,0)</f>
        <v/>
      </c>
      <c r="H183" s="51" t="n"/>
      <c r="I183" s="52" t="n"/>
      <c r="J183" s="51">
        <f>IFERROR(G183-H183,0)</f>
        <v/>
      </c>
      <c r="K183" s="52" t="n"/>
      <c r="L183" s="49">
        <f>IF(A183="","",IF(J183&lt;=0,"Paid",IF(AND(K183&lt;TODAY(),K183&lt;&gt;""),"Overdue","Open")))</f>
        <v/>
      </c>
      <c r="M183" s="49" t="n"/>
    </row>
    <row r="184">
      <c r="A184" s="52" t="n"/>
      <c r="B184" s="49" t="n"/>
      <c r="C184" s="49" t="n"/>
      <c r="D184" s="49" t="n"/>
      <c r="E184" s="49">
        <f>IFERROR(VLOOKUP(D184,'Stock Master'!$A$2:$L$49,2,FALSE),"")</f>
        <v/>
      </c>
      <c r="F184" s="49" t="n"/>
      <c r="G184" s="51">
        <f>IFERROR(VLOOKUP(D184,'Stock Master'!$A$2:$L$49,5,FALSE)*F184,0)</f>
        <v/>
      </c>
      <c r="H184" s="51" t="n"/>
      <c r="I184" s="52" t="n"/>
      <c r="J184" s="51">
        <f>IFERROR(G184-H184,0)</f>
        <v/>
      </c>
      <c r="K184" s="52" t="n"/>
      <c r="L184" s="49">
        <f>IF(A184="","",IF(J184&lt;=0,"Paid",IF(AND(K184&lt;TODAY(),K184&lt;&gt;""),"Overdue","Open")))</f>
        <v/>
      </c>
      <c r="M184" s="49" t="n"/>
    </row>
    <row r="185">
      <c r="A185" s="52" t="n"/>
      <c r="B185" s="49" t="n"/>
      <c r="C185" s="49" t="n"/>
      <c r="D185" s="49" t="n"/>
      <c r="E185" s="49">
        <f>IFERROR(VLOOKUP(D185,'Stock Master'!$A$2:$L$49,2,FALSE),"")</f>
        <v/>
      </c>
      <c r="F185" s="49" t="n"/>
      <c r="G185" s="51">
        <f>IFERROR(VLOOKUP(D185,'Stock Master'!$A$2:$L$49,5,FALSE)*F185,0)</f>
        <v/>
      </c>
      <c r="H185" s="51" t="n"/>
      <c r="I185" s="52" t="n"/>
      <c r="J185" s="51">
        <f>IFERROR(G185-H185,0)</f>
        <v/>
      </c>
      <c r="K185" s="52" t="n"/>
      <c r="L185" s="49">
        <f>IF(A185="","",IF(J185&lt;=0,"Paid",IF(AND(K185&lt;TODAY(),K185&lt;&gt;""),"Overdue","Open")))</f>
        <v/>
      </c>
      <c r="M185" s="49" t="n"/>
    </row>
    <row r="186">
      <c r="A186" s="52" t="n"/>
      <c r="B186" s="49" t="n"/>
      <c r="C186" s="49" t="n"/>
      <c r="D186" s="49" t="n"/>
      <c r="E186" s="49">
        <f>IFERROR(VLOOKUP(D186,'Stock Master'!$A$2:$L$49,2,FALSE),"")</f>
        <v/>
      </c>
      <c r="F186" s="49" t="n"/>
      <c r="G186" s="51">
        <f>IFERROR(VLOOKUP(D186,'Stock Master'!$A$2:$L$49,5,FALSE)*F186,0)</f>
        <v/>
      </c>
      <c r="H186" s="51" t="n"/>
      <c r="I186" s="52" t="n"/>
      <c r="J186" s="51">
        <f>IFERROR(G186-H186,0)</f>
        <v/>
      </c>
      <c r="K186" s="52" t="n"/>
      <c r="L186" s="49">
        <f>IF(A186="","",IF(J186&lt;=0,"Paid",IF(AND(K186&lt;TODAY(),K186&lt;&gt;""),"Overdue","Open")))</f>
        <v/>
      </c>
      <c r="M186" s="49" t="n"/>
    </row>
    <row r="187">
      <c r="A187" s="52" t="n"/>
      <c r="B187" s="49" t="n"/>
      <c r="C187" s="49" t="n"/>
      <c r="D187" s="49" t="n"/>
      <c r="E187" s="49">
        <f>IFERROR(VLOOKUP(D187,'Stock Master'!$A$2:$L$49,2,FALSE),"")</f>
        <v/>
      </c>
      <c r="F187" s="49" t="n"/>
      <c r="G187" s="51">
        <f>IFERROR(VLOOKUP(D187,'Stock Master'!$A$2:$L$49,5,FALSE)*F187,0)</f>
        <v/>
      </c>
      <c r="H187" s="51" t="n"/>
      <c r="I187" s="52" t="n"/>
      <c r="J187" s="51">
        <f>IFERROR(G187-H187,0)</f>
        <v/>
      </c>
      <c r="K187" s="52" t="n"/>
      <c r="L187" s="49">
        <f>IF(A187="","",IF(J187&lt;=0,"Paid",IF(AND(K187&lt;TODAY(),K187&lt;&gt;""),"Overdue","Open")))</f>
        <v/>
      </c>
      <c r="M187" s="49" t="n"/>
    </row>
    <row r="188">
      <c r="A188" s="52" t="n"/>
      <c r="B188" s="49" t="n"/>
      <c r="C188" s="49" t="n"/>
      <c r="D188" s="49" t="n"/>
      <c r="E188" s="49">
        <f>IFERROR(VLOOKUP(D188,'Stock Master'!$A$2:$L$49,2,FALSE),"")</f>
        <v/>
      </c>
      <c r="F188" s="49" t="n"/>
      <c r="G188" s="51">
        <f>IFERROR(VLOOKUP(D188,'Stock Master'!$A$2:$L$49,5,FALSE)*F188,0)</f>
        <v/>
      </c>
      <c r="H188" s="51" t="n"/>
      <c r="I188" s="52" t="n"/>
      <c r="J188" s="51">
        <f>IFERROR(G188-H188,0)</f>
        <v/>
      </c>
      <c r="K188" s="52" t="n"/>
      <c r="L188" s="49">
        <f>IF(A188="","",IF(J188&lt;=0,"Paid",IF(AND(K188&lt;TODAY(),K188&lt;&gt;""),"Overdue","Open")))</f>
        <v/>
      </c>
      <c r="M188" s="49" t="n"/>
    </row>
    <row r="189">
      <c r="A189" s="52" t="n"/>
      <c r="B189" s="49" t="n"/>
      <c r="C189" s="49" t="n"/>
      <c r="D189" s="49" t="n"/>
      <c r="E189" s="49">
        <f>IFERROR(VLOOKUP(D189,'Stock Master'!$A$2:$L$49,2,FALSE),"")</f>
        <v/>
      </c>
      <c r="F189" s="49" t="n"/>
      <c r="G189" s="51">
        <f>IFERROR(VLOOKUP(D189,'Stock Master'!$A$2:$L$49,5,FALSE)*F189,0)</f>
        <v/>
      </c>
      <c r="H189" s="51" t="n"/>
      <c r="I189" s="52" t="n"/>
      <c r="J189" s="51">
        <f>IFERROR(G189-H189,0)</f>
        <v/>
      </c>
      <c r="K189" s="52" t="n"/>
      <c r="L189" s="49">
        <f>IF(A189="","",IF(J189&lt;=0,"Paid",IF(AND(K189&lt;TODAY(),K189&lt;&gt;""),"Overdue","Open")))</f>
        <v/>
      </c>
      <c r="M189" s="49" t="n"/>
    </row>
    <row r="190">
      <c r="A190" s="52" t="n"/>
      <c r="B190" s="49" t="n"/>
      <c r="C190" s="49" t="n"/>
      <c r="D190" s="49" t="n"/>
      <c r="E190" s="49">
        <f>IFERROR(VLOOKUP(D190,'Stock Master'!$A$2:$L$49,2,FALSE),"")</f>
        <v/>
      </c>
      <c r="F190" s="49" t="n"/>
      <c r="G190" s="51">
        <f>IFERROR(VLOOKUP(D190,'Stock Master'!$A$2:$L$49,5,FALSE)*F190,0)</f>
        <v/>
      </c>
      <c r="H190" s="51" t="n"/>
      <c r="I190" s="52" t="n"/>
      <c r="J190" s="51">
        <f>IFERROR(G190-H190,0)</f>
        <v/>
      </c>
      <c r="K190" s="52" t="n"/>
      <c r="L190" s="49">
        <f>IF(A190="","",IF(J190&lt;=0,"Paid",IF(AND(K190&lt;TODAY(),K190&lt;&gt;""),"Overdue","Open")))</f>
        <v/>
      </c>
      <c r="M190" s="49" t="n"/>
    </row>
    <row r="191">
      <c r="A191" s="52" t="n"/>
      <c r="B191" s="49" t="n"/>
      <c r="C191" s="49" t="n"/>
      <c r="D191" s="49" t="n"/>
      <c r="E191" s="49">
        <f>IFERROR(VLOOKUP(D191,'Stock Master'!$A$2:$L$49,2,FALSE),"")</f>
        <v/>
      </c>
      <c r="F191" s="49" t="n"/>
      <c r="G191" s="51">
        <f>IFERROR(VLOOKUP(D191,'Stock Master'!$A$2:$L$49,5,FALSE)*F191,0)</f>
        <v/>
      </c>
      <c r="H191" s="51" t="n"/>
      <c r="I191" s="52" t="n"/>
      <c r="J191" s="51">
        <f>IFERROR(G191-H191,0)</f>
        <v/>
      </c>
      <c r="K191" s="52" t="n"/>
      <c r="L191" s="49">
        <f>IF(A191="","",IF(J191&lt;=0,"Paid",IF(AND(K191&lt;TODAY(),K191&lt;&gt;""),"Overdue","Open")))</f>
        <v/>
      </c>
      <c r="M191" s="49" t="n"/>
    </row>
    <row r="192">
      <c r="A192" s="52" t="n"/>
      <c r="B192" s="49" t="n"/>
      <c r="C192" s="49" t="n"/>
      <c r="D192" s="49" t="n"/>
      <c r="E192" s="49">
        <f>IFERROR(VLOOKUP(D192,'Stock Master'!$A$2:$L$49,2,FALSE),"")</f>
        <v/>
      </c>
      <c r="F192" s="49" t="n"/>
      <c r="G192" s="51">
        <f>IFERROR(VLOOKUP(D192,'Stock Master'!$A$2:$L$49,5,FALSE)*F192,0)</f>
        <v/>
      </c>
      <c r="H192" s="51" t="n"/>
      <c r="I192" s="52" t="n"/>
      <c r="J192" s="51">
        <f>IFERROR(G192-H192,0)</f>
        <v/>
      </c>
      <c r="K192" s="52" t="n"/>
      <c r="L192" s="49">
        <f>IF(A192="","",IF(J192&lt;=0,"Paid",IF(AND(K192&lt;TODAY(),K192&lt;&gt;""),"Overdue","Open")))</f>
        <v/>
      </c>
      <c r="M192" s="49" t="n"/>
    </row>
    <row r="193">
      <c r="A193" s="52" t="n"/>
      <c r="B193" s="49" t="n"/>
      <c r="C193" s="49" t="n"/>
      <c r="D193" s="49" t="n"/>
      <c r="E193" s="49">
        <f>IFERROR(VLOOKUP(D193,'Stock Master'!$A$2:$L$49,2,FALSE),"")</f>
        <v/>
      </c>
      <c r="F193" s="49" t="n"/>
      <c r="G193" s="51">
        <f>IFERROR(VLOOKUP(D193,'Stock Master'!$A$2:$L$49,5,FALSE)*F193,0)</f>
        <v/>
      </c>
      <c r="H193" s="51" t="n"/>
      <c r="I193" s="52" t="n"/>
      <c r="J193" s="51">
        <f>IFERROR(G193-H193,0)</f>
        <v/>
      </c>
      <c r="K193" s="52" t="n"/>
      <c r="L193" s="49">
        <f>IF(A193="","",IF(J193&lt;=0,"Paid",IF(AND(K193&lt;TODAY(),K193&lt;&gt;""),"Overdue","Open")))</f>
        <v/>
      </c>
      <c r="M193" s="49" t="n"/>
    </row>
    <row r="194">
      <c r="A194" s="52" t="n"/>
      <c r="B194" s="49" t="n"/>
      <c r="C194" s="49" t="n"/>
      <c r="D194" s="49" t="n"/>
      <c r="E194" s="49">
        <f>IFERROR(VLOOKUP(D194,'Stock Master'!$A$2:$L$49,2,FALSE),"")</f>
        <v/>
      </c>
      <c r="F194" s="49" t="n"/>
      <c r="G194" s="51">
        <f>IFERROR(VLOOKUP(D194,'Stock Master'!$A$2:$L$49,5,FALSE)*F194,0)</f>
        <v/>
      </c>
      <c r="H194" s="51" t="n"/>
      <c r="I194" s="52" t="n"/>
      <c r="J194" s="51">
        <f>IFERROR(G194-H194,0)</f>
        <v/>
      </c>
      <c r="K194" s="52" t="n"/>
      <c r="L194" s="49">
        <f>IF(A194="","",IF(J194&lt;=0,"Paid",IF(AND(K194&lt;TODAY(),K194&lt;&gt;""),"Overdue","Open")))</f>
        <v/>
      </c>
      <c r="M194" s="49" t="n"/>
    </row>
    <row r="195">
      <c r="A195" s="52" t="n"/>
      <c r="B195" s="49" t="n"/>
      <c r="C195" s="49" t="n"/>
      <c r="D195" s="49" t="n"/>
      <c r="E195" s="49">
        <f>IFERROR(VLOOKUP(D195,'Stock Master'!$A$2:$L$49,2,FALSE),"")</f>
        <v/>
      </c>
      <c r="F195" s="49" t="n"/>
      <c r="G195" s="51">
        <f>IFERROR(VLOOKUP(D195,'Stock Master'!$A$2:$L$49,5,FALSE)*F195,0)</f>
        <v/>
      </c>
      <c r="H195" s="51" t="n"/>
      <c r="I195" s="52" t="n"/>
      <c r="J195" s="51">
        <f>IFERROR(G195-H195,0)</f>
        <v/>
      </c>
      <c r="K195" s="52" t="n"/>
      <c r="L195" s="49">
        <f>IF(A195="","",IF(J195&lt;=0,"Paid",IF(AND(K195&lt;TODAY(),K195&lt;&gt;""),"Overdue","Open")))</f>
        <v/>
      </c>
      <c r="M195" s="49" t="n"/>
    </row>
    <row r="196">
      <c r="A196" s="52" t="n"/>
      <c r="B196" s="49" t="n"/>
      <c r="C196" s="49" t="n"/>
      <c r="D196" s="49" t="n"/>
      <c r="E196" s="49">
        <f>IFERROR(VLOOKUP(D196,'Stock Master'!$A$2:$L$49,2,FALSE),"")</f>
        <v/>
      </c>
      <c r="F196" s="49" t="n"/>
      <c r="G196" s="51">
        <f>IFERROR(VLOOKUP(D196,'Stock Master'!$A$2:$L$49,5,FALSE)*F196,0)</f>
        <v/>
      </c>
      <c r="H196" s="51" t="n"/>
      <c r="I196" s="52" t="n"/>
      <c r="J196" s="51">
        <f>IFERROR(G196-H196,0)</f>
        <v/>
      </c>
      <c r="K196" s="52" t="n"/>
      <c r="L196" s="49">
        <f>IF(A196="","",IF(J196&lt;=0,"Paid",IF(AND(K196&lt;TODAY(),K196&lt;&gt;""),"Overdue","Open")))</f>
        <v/>
      </c>
      <c r="M196" s="49" t="n"/>
    </row>
    <row r="197">
      <c r="A197" s="52" t="n"/>
      <c r="B197" s="49" t="n"/>
      <c r="C197" s="49" t="n"/>
      <c r="D197" s="49" t="n"/>
      <c r="E197" s="49">
        <f>IFERROR(VLOOKUP(D197,'Stock Master'!$A$2:$L$49,2,FALSE),"")</f>
        <v/>
      </c>
      <c r="F197" s="49" t="n"/>
      <c r="G197" s="51">
        <f>IFERROR(VLOOKUP(D197,'Stock Master'!$A$2:$L$49,5,FALSE)*F197,0)</f>
        <v/>
      </c>
      <c r="H197" s="51" t="n"/>
      <c r="I197" s="52" t="n"/>
      <c r="J197" s="51">
        <f>IFERROR(G197-H197,0)</f>
        <v/>
      </c>
      <c r="K197" s="52" t="n"/>
      <c r="L197" s="49">
        <f>IF(A197="","",IF(J197&lt;=0,"Paid",IF(AND(K197&lt;TODAY(),K197&lt;&gt;""),"Overdue","Open")))</f>
        <v/>
      </c>
      <c r="M197" s="49" t="n"/>
    </row>
    <row r="198">
      <c r="A198" s="52" t="n"/>
      <c r="B198" s="49" t="n"/>
      <c r="C198" s="49" t="n"/>
      <c r="D198" s="49" t="n"/>
      <c r="E198" s="49">
        <f>IFERROR(VLOOKUP(D198,'Stock Master'!$A$2:$L$49,2,FALSE),"")</f>
        <v/>
      </c>
      <c r="F198" s="49" t="n"/>
      <c r="G198" s="51">
        <f>IFERROR(VLOOKUP(D198,'Stock Master'!$A$2:$L$49,5,FALSE)*F198,0)</f>
        <v/>
      </c>
      <c r="H198" s="51" t="n"/>
      <c r="I198" s="52" t="n"/>
      <c r="J198" s="51">
        <f>IFERROR(G198-H198,0)</f>
        <v/>
      </c>
      <c r="K198" s="52" t="n"/>
      <c r="L198" s="49">
        <f>IF(A198="","",IF(J198&lt;=0,"Paid",IF(AND(K198&lt;TODAY(),K198&lt;&gt;""),"Overdue","Open")))</f>
        <v/>
      </c>
      <c r="M198" s="49" t="n"/>
    </row>
    <row r="199">
      <c r="A199" s="52" t="n"/>
      <c r="B199" s="49" t="n"/>
      <c r="C199" s="49" t="n"/>
      <c r="D199" s="49" t="n"/>
      <c r="E199" s="49">
        <f>IFERROR(VLOOKUP(D199,'Stock Master'!$A$2:$L$49,2,FALSE),"")</f>
        <v/>
      </c>
      <c r="F199" s="49" t="n"/>
      <c r="G199" s="51">
        <f>IFERROR(VLOOKUP(D199,'Stock Master'!$A$2:$L$49,5,FALSE)*F199,0)</f>
        <v/>
      </c>
      <c r="H199" s="51" t="n"/>
      <c r="I199" s="52" t="n"/>
      <c r="J199" s="51">
        <f>IFERROR(G199-H199,0)</f>
        <v/>
      </c>
      <c r="K199" s="52" t="n"/>
      <c r="L199" s="49">
        <f>IF(A199="","",IF(J199&lt;=0,"Paid",IF(AND(K199&lt;TODAY(),K199&lt;&gt;""),"Overdue","Open")))</f>
        <v/>
      </c>
      <c r="M199" s="49" t="n"/>
    </row>
    <row r="200">
      <c r="A200" s="52" t="n"/>
      <c r="B200" s="49" t="n"/>
      <c r="C200" s="49" t="n"/>
      <c r="D200" s="49" t="n"/>
      <c r="E200" s="49">
        <f>IFERROR(VLOOKUP(D200,'Stock Master'!$A$2:$L$49,2,FALSE),"")</f>
        <v/>
      </c>
      <c r="F200" s="49" t="n"/>
      <c r="G200" s="51">
        <f>IFERROR(VLOOKUP(D200,'Stock Master'!$A$2:$L$49,5,FALSE)*F200,0)</f>
        <v/>
      </c>
      <c r="H200" s="51" t="n"/>
      <c r="I200" s="52" t="n"/>
      <c r="J200" s="51">
        <f>IFERROR(G200-H200,0)</f>
        <v/>
      </c>
      <c r="K200" s="52" t="n"/>
      <c r="L200" s="49">
        <f>IF(A200="","",IF(J200&lt;=0,"Paid",IF(AND(K200&lt;TODAY(),K200&lt;&gt;""),"Overdue","Open")))</f>
        <v/>
      </c>
      <c r="M200" s="49" t="n"/>
    </row>
    <row r="201">
      <c r="A201" s="52" t="n"/>
      <c r="B201" s="49" t="n"/>
      <c r="C201" s="49" t="n"/>
      <c r="D201" s="49" t="n"/>
      <c r="E201" s="49">
        <f>IFERROR(VLOOKUP(D201,'Stock Master'!$A$2:$L$49,2,FALSE),"")</f>
        <v/>
      </c>
      <c r="F201" s="49" t="n"/>
      <c r="G201" s="51">
        <f>IFERROR(VLOOKUP(D201,'Stock Master'!$A$2:$L$49,5,FALSE)*F201,0)</f>
        <v/>
      </c>
      <c r="H201" s="51" t="n"/>
      <c r="I201" s="52" t="n"/>
      <c r="J201" s="51">
        <f>IFERROR(G201-H201,0)</f>
        <v/>
      </c>
      <c r="K201" s="52" t="n"/>
      <c r="L201" s="49">
        <f>IF(A201="","",IF(J201&lt;=0,"Paid",IF(AND(K201&lt;TODAY(),K201&lt;&gt;""),"Overdue","Open")))</f>
        <v/>
      </c>
      <c r="M201" s="49" t="n"/>
    </row>
    <row r="202">
      <c r="A202" s="52" t="n"/>
      <c r="B202" s="49" t="n"/>
      <c r="C202" s="49" t="n"/>
      <c r="D202" s="49" t="n"/>
      <c r="E202" s="49">
        <f>IFERROR(VLOOKUP(D202,'Stock Master'!$A$2:$L$49,2,FALSE),"")</f>
        <v/>
      </c>
      <c r="F202" s="49" t="n"/>
      <c r="G202" s="51">
        <f>IFERROR(VLOOKUP(D202,'Stock Master'!$A$2:$L$49,5,FALSE)*F202,0)</f>
        <v/>
      </c>
      <c r="H202" s="51" t="n"/>
      <c r="I202" s="52" t="n"/>
      <c r="J202" s="51">
        <f>IFERROR(G202-H202,0)</f>
        <v/>
      </c>
      <c r="K202" s="52" t="n"/>
      <c r="L202" s="49">
        <f>IF(A202="","",IF(J202&lt;=0,"Paid",IF(AND(K202&lt;TODAY(),K202&lt;&gt;""),"Overdue","Open")))</f>
        <v/>
      </c>
      <c r="M202" s="49" t="n"/>
    </row>
    <row r="203">
      <c r="A203" s="52" t="n"/>
      <c r="B203" s="49" t="n"/>
      <c r="C203" s="49" t="n"/>
      <c r="D203" s="49" t="n"/>
      <c r="E203" s="49">
        <f>IFERROR(VLOOKUP(D203,'Stock Master'!$A$2:$L$49,2,FALSE),"")</f>
        <v/>
      </c>
      <c r="F203" s="49" t="n"/>
      <c r="G203" s="51">
        <f>IFERROR(VLOOKUP(D203,'Stock Master'!$A$2:$L$49,5,FALSE)*F203,0)</f>
        <v/>
      </c>
      <c r="H203" s="51" t="n"/>
      <c r="I203" s="52" t="n"/>
      <c r="J203" s="51">
        <f>IFERROR(G203-H203,0)</f>
        <v/>
      </c>
      <c r="K203" s="52" t="n"/>
      <c r="L203" s="49">
        <f>IF(A203="","",IF(J203&lt;=0,"Paid",IF(AND(K203&lt;TODAY(),K203&lt;&gt;""),"Overdue","Open")))</f>
        <v/>
      </c>
      <c r="M203" s="49" t="n"/>
    </row>
    <row r="204">
      <c r="A204" s="52" t="n"/>
      <c r="B204" s="49" t="n"/>
      <c r="C204" s="49" t="n"/>
      <c r="D204" s="49" t="n"/>
      <c r="E204" s="49">
        <f>IFERROR(VLOOKUP(D204,'Stock Master'!$A$2:$L$49,2,FALSE),"")</f>
        <v/>
      </c>
      <c r="F204" s="49" t="n"/>
      <c r="G204" s="51">
        <f>IFERROR(VLOOKUP(D204,'Stock Master'!$A$2:$L$49,5,FALSE)*F204,0)</f>
        <v/>
      </c>
      <c r="H204" s="51" t="n"/>
      <c r="I204" s="52" t="n"/>
      <c r="J204" s="51">
        <f>IFERROR(G204-H204,0)</f>
        <v/>
      </c>
      <c r="K204" s="52" t="n"/>
      <c r="L204" s="49">
        <f>IF(A204="","",IF(J204&lt;=0,"Paid",IF(AND(K204&lt;TODAY(),K204&lt;&gt;""),"Overdue","Open")))</f>
        <v/>
      </c>
      <c r="M204" s="49" t="n"/>
    </row>
    <row r="205">
      <c r="A205" s="52" t="n"/>
      <c r="B205" s="49" t="n"/>
      <c r="C205" s="49" t="n"/>
      <c r="D205" s="49" t="n"/>
      <c r="E205" s="49">
        <f>IFERROR(VLOOKUP(D205,'Stock Master'!$A$2:$L$49,2,FALSE),"")</f>
        <v/>
      </c>
      <c r="F205" s="49" t="n"/>
      <c r="G205" s="51">
        <f>IFERROR(VLOOKUP(D205,'Stock Master'!$A$2:$L$49,5,FALSE)*F205,0)</f>
        <v/>
      </c>
      <c r="H205" s="51" t="n"/>
      <c r="I205" s="52" t="n"/>
      <c r="J205" s="51">
        <f>IFERROR(G205-H205,0)</f>
        <v/>
      </c>
      <c r="K205" s="52" t="n"/>
      <c r="L205" s="49">
        <f>IF(A205="","",IF(J205&lt;=0,"Paid",IF(AND(K205&lt;TODAY(),K205&lt;&gt;""),"Overdue","Open")))</f>
        <v/>
      </c>
      <c r="M205" s="49" t="n"/>
    </row>
    <row r="206">
      <c r="A206" s="52" t="n"/>
      <c r="B206" s="49" t="n"/>
      <c r="C206" s="49" t="n"/>
      <c r="D206" s="49" t="n"/>
      <c r="E206" s="49">
        <f>IFERROR(VLOOKUP(D206,'Stock Master'!$A$2:$L$49,2,FALSE),"")</f>
        <v/>
      </c>
      <c r="F206" s="49" t="n"/>
      <c r="G206" s="51">
        <f>IFERROR(VLOOKUP(D206,'Stock Master'!$A$2:$L$49,5,FALSE)*F206,0)</f>
        <v/>
      </c>
      <c r="H206" s="51" t="n"/>
      <c r="I206" s="52" t="n"/>
      <c r="J206" s="51">
        <f>IFERROR(G206-H206,0)</f>
        <v/>
      </c>
      <c r="K206" s="52" t="n"/>
      <c r="L206" s="49">
        <f>IF(A206="","",IF(J206&lt;=0,"Paid",IF(AND(K206&lt;TODAY(),K206&lt;&gt;""),"Overdue","Open")))</f>
        <v/>
      </c>
      <c r="M206" s="49" t="n"/>
    </row>
    <row r="207">
      <c r="A207" s="52" t="n"/>
      <c r="B207" s="49" t="n"/>
      <c r="C207" s="49" t="n"/>
      <c r="D207" s="49" t="n"/>
      <c r="E207" s="49">
        <f>IFERROR(VLOOKUP(D207,'Stock Master'!$A$2:$L$49,2,FALSE),"")</f>
        <v/>
      </c>
      <c r="F207" s="49" t="n"/>
      <c r="G207" s="51">
        <f>IFERROR(VLOOKUP(D207,'Stock Master'!$A$2:$L$49,5,FALSE)*F207,0)</f>
        <v/>
      </c>
      <c r="H207" s="51" t="n"/>
      <c r="I207" s="52" t="n"/>
      <c r="J207" s="51">
        <f>IFERROR(G207-H207,0)</f>
        <v/>
      </c>
      <c r="K207" s="52" t="n"/>
      <c r="L207" s="49">
        <f>IF(A207="","",IF(J207&lt;=0,"Paid",IF(AND(K207&lt;TODAY(),K207&lt;&gt;""),"Overdue","Open")))</f>
        <v/>
      </c>
      <c r="M207" s="49" t="n"/>
    </row>
    <row r="208">
      <c r="A208" s="52" t="n"/>
      <c r="B208" s="49" t="n"/>
      <c r="C208" s="49" t="n"/>
      <c r="D208" s="49" t="n"/>
      <c r="E208" s="49">
        <f>IFERROR(VLOOKUP(D208,'Stock Master'!$A$2:$L$49,2,FALSE),"")</f>
        <v/>
      </c>
      <c r="F208" s="49" t="n"/>
      <c r="G208" s="51">
        <f>IFERROR(VLOOKUP(D208,'Stock Master'!$A$2:$L$49,5,FALSE)*F208,0)</f>
        <v/>
      </c>
      <c r="H208" s="51" t="n"/>
      <c r="I208" s="52" t="n"/>
      <c r="J208" s="51">
        <f>IFERROR(G208-H208,0)</f>
        <v/>
      </c>
      <c r="K208" s="52" t="n"/>
      <c r="L208" s="49">
        <f>IF(A208="","",IF(J208&lt;=0,"Paid",IF(AND(K208&lt;TODAY(),K208&lt;&gt;""),"Overdue","Open")))</f>
        <v/>
      </c>
      <c r="M208" s="49" t="n"/>
    </row>
    <row r="209">
      <c r="A209" s="52" t="n"/>
      <c r="B209" s="49" t="n"/>
      <c r="C209" s="49" t="n"/>
      <c r="D209" s="49" t="n"/>
      <c r="E209" s="49">
        <f>IFERROR(VLOOKUP(D209,'Stock Master'!$A$2:$L$49,2,FALSE),"")</f>
        <v/>
      </c>
      <c r="F209" s="49" t="n"/>
      <c r="G209" s="51">
        <f>IFERROR(VLOOKUP(D209,'Stock Master'!$A$2:$L$49,5,FALSE)*F209,0)</f>
        <v/>
      </c>
      <c r="H209" s="51" t="n"/>
      <c r="I209" s="52" t="n"/>
      <c r="J209" s="51">
        <f>IFERROR(G209-H209,0)</f>
        <v/>
      </c>
      <c r="K209" s="52" t="n"/>
      <c r="L209" s="49">
        <f>IF(A209="","",IF(J209&lt;=0,"Paid",IF(AND(K209&lt;TODAY(),K209&lt;&gt;""),"Overdue","Open")))</f>
        <v/>
      </c>
      <c r="M209" s="49" t="n"/>
    </row>
    <row r="210">
      <c r="A210" s="52" t="n"/>
      <c r="B210" s="49" t="n"/>
      <c r="C210" s="49" t="n"/>
      <c r="D210" s="49" t="n"/>
      <c r="E210" s="49">
        <f>IFERROR(VLOOKUP(D210,'Stock Master'!$A$2:$L$49,2,FALSE),"")</f>
        <v/>
      </c>
      <c r="F210" s="49" t="n"/>
      <c r="G210" s="51">
        <f>IFERROR(VLOOKUP(D210,'Stock Master'!$A$2:$L$49,5,FALSE)*F210,0)</f>
        <v/>
      </c>
      <c r="H210" s="51" t="n"/>
      <c r="I210" s="52" t="n"/>
      <c r="J210" s="51">
        <f>IFERROR(G210-H210,0)</f>
        <v/>
      </c>
      <c r="K210" s="52" t="n"/>
      <c r="L210" s="49">
        <f>IF(A210="","",IF(J210&lt;=0,"Paid",IF(AND(K210&lt;TODAY(),K210&lt;&gt;""),"Overdue","Open")))</f>
        <v/>
      </c>
      <c r="M210" s="49" t="n"/>
    </row>
    <row r="211">
      <c r="A211" s="52" t="n"/>
      <c r="B211" s="49" t="n"/>
      <c r="C211" s="49" t="n"/>
      <c r="D211" s="49" t="n"/>
      <c r="E211" s="49">
        <f>IFERROR(VLOOKUP(D211,'Stock Master'!$A$2:$L$49,2,FALSE),"")</f>
        <v/>
      </c>
      <c r="F211" s="49" t="n"/>
      <c r="G211" s="51">
        <f>IFERROR(VLOOKUP(D211,'Stock Master'!$A$2:$L$49,5,FALSE)*F211,0)</f>
        <v/>
      </c>
      <c r="H211" s="51" t="n"/>
      <c r="I211" s="52" t="n"/>
      <c r="J211" s="51">
        <f>IFERROR(G211-H211,0)</f>
        <v/>
      </c>
      <c r="K211" s="52" t="n"/>
      <c r="L211" s="49">
        <f>IF(A211="","",IF(J211&lt;=0,"Paid",IF(AND(K211&lt;TODAY(),K211&lt;&gt;""),"Overdue","Open")))</f>
        <v/>
      </c>
      <c r="M211" s="49" t="n"/>
    </row>
    <row r="212">
      <c r="A212" s="52" t="n"/>
      <c r="B212" s="49" t="n"/>
      <c r="C212" s="49" t="n"/>
      <c r="D212" s="49" t="n"/>
      <c r="E212" s="49">
        <f>IFERROR(VLOOKUP(D212,'Stock Master'!$A$2:$L$49,2,FALSE),"")</f>
        <v/>
      </c>
      <c r="F212" s="49" t="n"/>
      <c r="G212" s="51">
        <f>IFERROR(VLOOKUP(D212,'Stock Master'!$A$2:$L$49,5,FALSE)*F212,0)</f>
        <v/>
      </c>
      <c r="H212" s="51" t="n"/>
      <c r="I212" s="52" t="n"/>
      <c r="J212" s="51">
        <f>IFERROR(G212-H212,0)</f>
        <v/>
      </c>
      <c r="K212" s="52" t="n"/>
      <c r="L212" s="49">
        <f>IF(A212="","",IF(J212&lt;=0,"Paid",IF(AND(K212&lt;TODAY(),K212&lt;&gt;""),"Overdue","Open")))</f>
        <v/>
      </c>
      <c r="M212" s="49" t="n"/>
    </row>
    <row r="213">
      <c r="A213" s="52" t="n"/>
      <c r="B213" s="49" t="n"/>
      <c r="C213" s="49" t="n"/>
      <c r="D213" s="49" t="n"/>
      <c r="E213" s="49">
        <f>IFERROR(VLOOKUP(D213,'Stock Master'!$A$2:$L$49,2,FALSE),"")</f>
        <v/>
      </c>
      <c r="F213" s="49" t="n"/>
      <c r="G213" s="51">
        <f>IFERROR(VLOOKUP(D213,'Stock Master'!$A$2:$L$49,5,FALSE)*F213,0)</f>
        <v/>
      </c>
      <c r="H213" s="51" t="n"/>
      <c r="I213" s="52" t="n"/>
      <c r="J213" s="51">
        <f>IFERROR(G213-H213,0)</f>
        <v/>
      </c>
      <c r="K213" s="52" t="n"/>
      <c r="L213" s="49">
        <f>IF(A213="","",IF(J213&lt;=0,"Paid",IF(AND(K213&lt;TODAY(),K213&lt;&gt;""),"Overdue","Open")))</f>
        <v/>
      </c>
      <c r="M213" s="49" t="n"/>
    </row>
    <row r="214">
      <c r="A214" s="52" t="n"/>
      <c r="B214" s="49" t="n"/>
      <c r="C214" s="49" t="n"/>
      <c r="D214" s="49" t="n"/>
      <c r="E214" s="49">
        <f>IFERROR(VLOOKUP(D214,'Stock Master'!$A$2:$L$49,2,FALSE),"")</f>
        <v/>
      </c>
      <c r="F214" s="49" t="n"/>
      <c r="G214" s="51">
        <f>IFERROR(VLOOKUP(D214,'Stock Master'!$A$2:$L$49,5,FALSE)*F214,0)</f>
        <v/>
      </c>
      <c r="H214" s="51" t="n"/>
      <c r="I214" s="52" t="n"/>
      <c r="J214" s="51">
        <f>IFERROR(G214-H214,0)</f>
        <v/>
      </c>
      <c r="K214" s="52" t="n"/>
      <c r="L214" s="49">
        <f>IF(A214="","",IF(J214&lt;=0,"Paid",IF(AND(K214&lt;TODAY(),K214&lt;&gt;""),"Overdue","Open")))</f>
        <v/>
      </c>
      <c r="M214" s="49" t="n"/>
    </row>
    <row r="215">
      <c r="A215" s="52" t="n"/>
      <c r="B215" s="49" t="n"/>
      <c r="C215" s="49" t="n"/>
      <c r="D215" s="49" t="n"/>
      <c r="E215" s="49">
        <f>IFERROR(VLOOKUP(D215,'Stock Master'!$A$2:$L$49,2,FALSE),"")</f>
        <v/>
      </c>
      <c r="F215" s="49" t="n"/>
      <c r="G215" s="51">
        <f>IFERROR(VLOOKUP(D215,'Stock Master'!$A$2:$L$49,5,FALSE)*F215,0)</f>
        <v/>
      </c>
      <c r="H215" s="51" t="n"/>
      <c r="I215" s="52" t="n"/>
      <c r="J215" s="51">
        <f>IFERROR(G215-H215,0)</f>
        <v/>
      </c>
      <c r="K215" s="52" t="n"/>
      <c r="L215" s="49">
        <f>IF(A215="","",IF(J215&lt;=0,"Paid",IF(AND(K215&lt;TODAY(),K215&lt;&gt;""),"Overdue","Open")))</f>
        <v/>
      </c>
      <c r="M215" s="49" t="n"/>
    </row>
    <row r="216">
      <c r="A216" s="52" t="n"/>
      <c r="B216" s="49" t="n"/>
      <c r="C216" s="49" t="n"/>
      <c r="D216" s="49" t="n"/>
      <c r="E216" s="49">
        <f>IFERROR(VLOOKUP(D216,'Stock Master'!$A$2:$L$49,2,FALSE),"")</f>
        <v/>
      </c>
      <c r="F216" s="49" t="n"/>
      <c r="G216" s="51">
        <f>IFERROR(VLOOKUP(D216,'Stock Master'!$A$2:$L$49,5,FALSE)*F216,0)</f>
        <v/>
      </c>
      <c r="H216" s="51" t="n"/>
      <c r="I216" s="52" t="n"/>
      <c r="J216" s="51">
        <f>IFERROR(G216-H216,0)</f>
        <v/>
      </c>
      <c r="K216" s="52" t="n"/>
      <c r="L216" s="49">
        <f>IF(A216="","",IF(J216&lt;=0,"Paid",IF(AND(K216&lt;TODAY(),K216&lt;&gt;""),"Overdue","Open")))</f>
        <v/>
      </c>
      <c r="M216" s="49" t="n"/>
    </row>
    <row r="217">
      <c r="A217" s="52" t="n"/>
      <c r="B217" s="49" t="n"/>
      <c r="C217" s="49" t="n"/>
      <c r="D217" s="49" t="n"/>
      <c r="E217" s="49">
        <f>IFERROR(VLOOKUP(D217,'Stock Master'!$A$2:$L$49,2,FALSE),"")</f>
        <v/>
      </c>
      <c r="F217" s="49" t="n"/>
      <c r="G217" s="51">
        <f>IFERROR(VLOOKUP(D217,'Stock Master'!$A$2:$L$49,5,FALSE)*F217,0)</f>
        <v/>
      </c>
      <c r="H217" s="51" t="n"/>
      <c r="I217" s="52" t="n"/>
      <c r="J217" s="51">
        <f>IFERROR(G217-H217,0)</f>
        <v/>
      </c>
      <c r="K217" s="52" t="n"/>
      <c r="L217" s="49">
        <f>IF(A217="","",IF(J217&lt;=0,"Paid",IF(AND(K217&lt;TODAY(),K217&lt;&gt;""),"Overdue","Open")))</f>
        <v/>
      </c>
      <c r="M217" s="49" t="n"/>
    </row>
    <row r="218">
      <c r="A218" s="52" t="n"/>
      <c r="B218" s="49" t="n"/>
      <c r="C218" s="49" t="n"/>
      <c r="D218" s="49" t="n"/>
      <c r="E218" s="49">
        <f>IFERROR(VLOOKUP(D218,'Stock Master'!$A$2:$L$49,2,FALSE),"")</f>
        <v/>
      </c>
      <c r="F218" s="49" t="n"/>
      <c r="G218" s="51">
        <f>IFERROR(VLOOKUP(D218,'Stock Master'!$A$2:$L$49,5,FALSE)*F218,0)</f>
        <v/>
      </c>
      <c r="H218" s="51" t="n"/>
      <c r="I218" s="52" t="n"/>
      <c r="J218" s="51">
        <f>IFERROR(G218-H218,0)</f>
        <v/>
      </c>
      <c r="K218" s="52" t="n"/>
      <c r="L218" s="49">
        <f>IF(A218="","",IF(J218&lt;=0,"Paid",IF(AND(K218&lt;TODAY(),K218&lt;&gt;""),"Overdue","Open")))</f>
        <v/>
      </c>
      <c r="M218" s="49" t="n"/>
    </row>
    <row r="219">
      <c r="A219" s="52" t="n"/>
      <c r="B219" s="49" t="n"/>
      <c r="C219" s="49" t="n"/>
      <c r="D219" s="49" t="n"/>
      <c r="E219" s="49">
        <f>IFERROR(VLOOKUP(D219,'Stock Master'!$A$2:$L$49,2,FALSE),"")</f>
        <v/>
      </c>
      <c r="F219" s="49" t="n"/>
      <c r="G219" s="51">
        <f>IFERROR(VLOOKUP(D219,'Stock Master'!$A$2:$L$49,5,FALSE)*F219,0)</f>
        <v/>
      </c>
      <c r="H219" s="51" t="n"/>
      <c r="I219" s="52" t="n"/>
      <c r="J219" s="51">
        <f>IFERROR(G219-H219,0)</f>
        <v/>
      </c>
      <c r="K219" s="52" t="n"/>
      <c r="L219" s="49">
        <f>IF(A219="","",IF(J219&lt;=0,"Paid",IF(AND(K219&lt;TODAY(),K219&lt;&gt;""),"Overdue","Open")))</f>
        <v/>
      </c>
      <c r="M219" s="49" t="n"/>
    </row>
    <row r="220">
      <c r="A220" s="52" t="n"/>
      <c r="B220" s="49" t="n"/>
      <c r="C220" s="49" t="n"/>
      <c r="D220" s="49" t="n"/>
      <c r="E220" s="49">
        <f>IFERROR(VLOOKUP(D220,'Stock Master'!$A$2:$L$49,2,FALSE),"")</f>
        <v/>
      </c>
      <c r="F220" s="49" t="n"/>
      <c r="G220" s="51">
        <f>IFERROR(VLOOKUP(D220,'Stock Master'!$A$2:$L$49,5,FALSE)*F220,0)</f>
        <v/>
      </c>
      <c r="H220" s="51" t="n"/>
      <c r="I220" s="52" t="n"/>
      <c r="J220" s="51">
        <f>IFERROR(G220-H220,0)</f>
        <v/>
      </c>
      <c r="K220" s="52" t="n"/>
      <c r="L220" s="49">
        <f>IF(A220="","",IF(J220&lt;=0,"Paid",IF(AND(K220&lt;TODAY(),K220&lt;&gt;""),"Overdue","Open")))</f>
        <v/>
      </c>
      <c r="M220" s="49" t="n"/>
    </row>
    <row r="221">
      <c r="A221" s="52" t="n"/>
      <c r="B221" s="49" t="n"/>
      <c r="C221" s="49" t="n"/>
      <c r="D221" s="49" t="n"/>
      <c r="E221" s="49">
        <f>IFERROR(VLOOKUP(D221,'Stock Master'!$A$2:$L$49,2,FALSE),"")</f>
        <v/>
      </c>
      <c r="F221" s="49" t="n"/>
      <c r="G221" s="51">
        <f>IFERROR(VLOOKUP(D221,'Stock Master'!$A$2:$L$49,5,FALSE)*F221,0)</f>
        <v/>
      </c>
      <c r="H221" s="51" t="n"/>
      <c r="I221" s="52" t="n"/>
      <c r="J221" s="51">
        <f>IFERROR(G221-H221,0)</f>
        <v/>
      </c>
      <c r="K221" s="52" t="n"/>
      <c r="L221" s="49">
        <f>IF(A221="","",IF(J221&lt;=0,"Paid",IF(AND(K221&lt;TODAY(),K221&lt;&gt;""),"Overdue","Open")))</f>
        <v/>
      </c>
      <c r="M221" s="49" t="n"/>
    </row>
    <row r="222">
      <c r="A222" s="52" t="n"/>
      <c r="B222" s="49" t="n"/>
      <c r="C222" s="49" t="n"/>
      <c r="D222" s="49" t="n"/>
      <c r="E222" s="49">
        <f>IFERROR(VLOOKUP(D222,'Stock Master'!$A$2:$L$49,2,FALSE),"")</f>
        <v/>
      </c>
      <c r="F222" s="49" t="n"/>
      <c r="G222" s="51">
        <f>IFERROR(VLOOKUP(D222,'Stock Master'!$A$2:$L$49,5,FALSE)*F222,0)</f>
        <v/>
      </c>
      <c r="H222" s="51" t="n"/>
      <c r="I222" s="52" t="n"/>
      <c r="J222" s="51">
        <f>IFERROR(G222-H222,0)</f>
        <v/>
      </c>
      <c r="K222" s="52" t="n"/>
      <c r="L222" s="49">
        <f>IF(A222="","",IF(J222&lt;=0,"Paid",IF(AND(K222&lt;TODAY(),K222&lt;&gt;""),"Overdue","Open")))</f>
        <v/>
      </c>
      <c r="M222" s="49" t="n"/>
    </row>
    <row r="223">
      <c r="A223" s="52" t="n"/>
      <c r="B223" s="49" t="n"/>
      <c r="C223" s="49" t="n"/>
      <c r="D223" s="49" t="n"/>
      <c r="E223" s="49">
        <f>IFERROR(VLOOKUP(D223,'Stock Master'!$A$2:$L$49,2,FALSE),"")</f>
        <v/>
      </c>
      <c r="F223" s="49" t="n"/>
      <c r="G223" s="51">
        <f>IFERROR(VLOOKUP(D223,'Stock Master'!$A$2:$L$49,5,FALSE)*F223,0)</f>
        <v/>
      </c>
      <c r="H223" s="51" t="n"/>
      <c r="I223" s="52" t="n"/>
      <c r="J223" s="51">
        <f>IFERROR(G223-H223,0)</f>
        <v/>
      </c>
      <c r="K223" s="52" t="n"/>
      <c r="L223" s="49">
        <f>IF(A223="","",IF(J223&lt;=0,"Paid",IF(AND(K223&lt;TODAY(),K223&lt;&gt;""),"Overdue","Open")))</f>
        <v/>
      </c>
      <c r="M223" s="49" t="n"/>
    </row>
    <row r="224">
      <c r="A224" s="52" t="n"/>
      <c r="B224" s="49" t="n"/>
      <c r="C224" s="49" t="n"/>
      <c r="D224" s="49" t="n"/>
      <c r="E224" s="49">
        <f>IFERROR(VLOOKUP(D224,'Stock Master'!$A$2:$L$49,2,FALSE),"")</f>
        <v/>
      </c>
      <c r="F224" s="49" t="n"/>
      <c r="G224" s="51">
        <f>IFERROR(VLOOKUP(D224,'Stock Master'!$A$2:$L$49,5,FALSE)*F224,0)</f>
        <v/>
      </c>
      <c r="H224" s="51" t="n"/>
      <c r="I224" s="52" t="n"/>
      <c r="J224" s="51">
        <f>IFERROR(G224-H224,0)</f>
        <v/>
      </c>
      <c r="K224" s="52" t="n"/>
      <c r="L224" s="49">
        <f>IF(A224="","",IF(J224&lt;=0,"Paid",IF(AND(K224&lt;TODAY(),K224&lt;&gt;""),"Overdue","Open")))</f>
        <v/>
      </c>
      <c r="M224" s="49" t="n"/>
    </row>
    <row r="225">
      <c r="A225" s="52" t="n"/>
      <c r="B225" s="49" t="n"/>
      <c r="C225" s="49" t="n"/>
      <c r="D225" s="49" t="n"/>
      <c r="E225" s="49">
        <f>IFERROR(VLOOKUP(D225,'Stock Master'!$A$2:$L$49,2,FALSE),"")</f>
        <v/>
      </c>
      <c r="F225" s="49" t="n"/>
      <c r="G225" s="51">
        <f>IFERROR(VLOOKUP(D225,'Stock Master'!$A$2:$L$49,5,FALSE)*F225,0)</f>
        <v/>
      </c>
      <c r="H225" s="51" t="n"/>
      <c r="I225" s="52" t="n"/>
      <c r="J225" s="51">
        <f>IFERROR(G225-H225,0)</f>
        <v/>
      </c>
      <c r="K225" s="52" t="n"/>
      <c r="L225" s="49">
        <f>IF(A225="","",IF(J225&lt;=0,"Paid",IF(AND(K225&lt;TODAY(),K225&lt;&gt;""),"Overdue","Open")))</f>
        <v/>
      </c>
      <c r="M225" s="49" t="n"/>
    </row>
    <row r="226">
      <c r="A226" s="52" t="n"/>
      <c r="B226" s="49" t="n"/>
      <c r="C226" s="49" t="n"/>
      <c r="D226" s="49" t="n"/>
      <c r="E226" s="49">
        <f>IFERROR(VLOOKUP(D226,'Stock Master'!$A$2:$L$49,2,FALSE),"")</f>
        <v/>
      </c>
      <c r="F226" s="49" t="n"/>
      <c r="G226" s="51">
        <f>IFERROR(VLOOKUP(D226,'Stock Master'!$A$2:$L$49,5,FALSE)*F226,0)</f>
        <v/>
      </c>
      <c r="H226" s="51" t="n"/>
      <c r="I226" s="52" t="n"/>
      <c r="J226" s="51">
        <f>IFERROR(G226-H226,0)</f>
        <v/>
      </c>
      <c r="K226" s="52" t="n"/>
      <c r="L226" s="49">
        <f>IF(A226="","",IF(J226&lt;=0,"Paid",IF(AND(K226&lt;TODAY(),K226&lt;&gt;""),"Overdue","Open")))</f>
        <v/>
      </c>
      <c r="M226" s="49" t="n"/>
    </row>
    <row r="227">
      <c r="A227" s="52" t="n"/>
      <c r="B227" s="49" t="n"/>
      <c r="C227" s="49" t="n"/>
      <c r="D227" s="49" t="n"/>
      <c r="E227" s="49">
        <f>IFERROR(VLOOKUP(D227,'Stock Master'!$A$2:$L$49,2,FALSE),"")</f>
        <v/>
      </c>
      <c r="F227" s="49" t="n"/>
      <c r="G227" s="51">
        <f>IFERROR(VLOOKUP(D227,'Stock Master'!$A$2:$L$49,5,FALSE)*F227,0)</f>
        <v/>
      </c>
      <c r="H227" s="51" t="n"/>
      <c r="I227" s="52" t="n"/>
      <c r="J227" s="51">
        <f>IFERROR(G227-H227,0)</f>
        <v/>
      </c>
      <c r="K227" s="52" t="n"/>
      <c r="L227" s="49">
        <f>IF(A227="","",IF(J227&lt;=0,"Paid",IF(AND(K227&lt;TODAY(),K227&lt;&gt;""),"Overdue","Open")))</f>
        <v/>
      </c>
      <c r="M227" s="49" t="n"/>
    </row>
    <row r="228">
      <c r="A228" s="52" t="n"/>
      <c r="B228" s="49" t="n"/>
      <c r="C228" s="49" t="n"/>
      <c r="D228" s="49" t="n"/>
      <c r="E228" s="49">
        <f>IFERROR(VLOOKUP(D228,'Stock Master'!$A$2:$L$49,2,FALSE),"")</f>
        <v/>
      </c>
      <c r="F228" s="49" t="n"/>
      <c r="G228" s="51">
        <f>IFERROR(VLOOKUP(D228,'Stock Master'!$A$2:$L$49,5,FALSE)*F228,0)</f>
        <v/>
      </c>
      <c r="H228" s="51" t="n"/>
      <c r="I228" s="52" t="n"/>
      <c r="J228" s="51">
        <f>IFERROR(G228-H228,0)</f>
        <v/>
      </c>
      <c r="K228" s="52" t="n"/>
      <c r="L228" s="49">
        <f>IF(A228="","",IF(J228&lt;=0,"Paid",IF(AND(K228&lt;TODAY(),K228&lt;&gt;""),"Overdue","Open")))</f>
        <v/>
      </c>
      <c r="M228" s="49" t="n"/>
    </row>
    <row r="229">
      <c r="A229" s="52" t="n"/>
      <c r="B229" s="49" t="n"/>
      <c r="C229" s="49" t="n"/>
      <c r="D229" s="49" t="n"/>
      <c r="E229" s="49">
        <f>IFERROR(VLOOKUP(D229,'Stock Master'!$A$2:$L$49,2,FALSE),"")</f>
        <v/>
      </c>
      <c r="F229" s="49" t="n"/>
      <c r="G229" s="51">
        <f>IFERROR(VLOOKUP(D229,'Stock Master'!$A$2:$L$49,5,FALSE)*F229,0)</f>
        <v/>
      </c>
      <c r="H229" s="51" t="n"/>
      <c r="I229" s="52" t="n"/>
      <c r="J229" s="51">
        <f>IFERROR(G229-H229,0)</f>
        <v/>
      </c>
      <c r="K229" s="52" t="n"/>
      <c r="L229" s="49">
        <f>IF(A229="","",IF(J229&lt;=0,"Paid",IF(AND(K229&lt;TODAY(),K229&lt;&gt;""),"Overdue","Open")))</f>
        <v/>
      </c>
      <c r="M229" s="49" t="n"/>
    </row>
    <row r="230">
      <c r="A230" s="52" t="n"/>
      <c r="B230" s="49" t="n"/>
      <c r="C230" s="49" t="n"/>
      <c r="D230" s="49" t="n"/>
      <c r="E230" s="49">
        <f>IFERROR(VLOOKUP(D230,'Stock Master'!$A$2:$L$49,2,FALSE),"")</f>
        <v/>
      </c>
      <c r="F230" s="49" t="n"/>
      <c r="G230" s="51">
        <f>IFERROR(VLOOKUP(D230,'Stock Master'!$A$2:$L$49,5,FALSE)*F230,0)</f>
        <v/>
      </c>
      <c r="H230" s="51" t="n"/>
      <c r="I230" s="52" t="n"/>
      <c r="J230" s="51">
        <f>IFERROR(G230-H230,0)</f>
        <v/>
      </c>
      <c r="K230" s="52" t="n"/>
      <c r="L230" s="49">
        <f>IF(A230="","",IF(J230&lt;=0,"Paid",IF(AND(K230&lt;TODAY(),K230&lt;&gt;""),"Overdue","Open")))</f>
        <v/>
      </c>
      <c r="M230" s="49" t="n"/>
    </row>
    <row r="231">
      <c r="A231" s="52" t="n"/>
      <c r="B231" s="49" t="n"/>
      <c r="C231" s="49" t="n"/>
      <c r="D231" s="49" t="n"/>
      <c r="E231" s="49">
        <f>IFERROR(VLOOKUP(D231,'Stock Master'!$A$2:$L$49,2,FALSE),"")</f>
        <v/>
      </c>
      <c r="F231" s="49" t="n"/>
      <c r="G231" s="51">
        <f>IFERROR(VLOOKUP(D231,'Stock Master'!$A$2:$L$49,5,FALSE)*F231,0)</f>
        <v/>
      </c>
      <c r="H231" s="51" t="n"/>
      <c r="I231" s="52" t="n"/>
      <c r="J231" s="51">
        <f>IFERROR(G231-H231,0)</f>
        <v/>
      </c>
      <c r="K231" s="52" t="n"/>
      <c r="L231" s="49">
        <f>IF(A231="","",IF(J231&lt;=0,"Paid",IF(AND(K231&lt;TODAY(),K231&lt;&gt;""),"Overdue","Open")))</f>
        <v/>
      </c>
      <c r="M231" s="49" t="n"/>
    </row>
    <row r="232">
      <c r="A232" s="52" t="n"/>
      <c r="B232" s="49" t="n"/>
      <c r="C232" s="49" t="n"/>
      <c r="D232" s="49" t="n"/>
      <c r="E232" s="49">
        <f>IFERROR(VLOOKUP(D232,'Stock Master'!$A$2:$L$49,2,FALSE),"")</f>
        <v/>
      </c>
      <c r="F232" s="49" t="n"/>
      <c r="G232" s="51">
        <f>IFERROR(VLOOKUP(D232,'Stock Master'!$A$2:$L$49,5,FALSE)*F232,0)</f>
        <v/>
      </c>
      <c r="H232" s="51" t="n"/>
      <c r="I232" s="52" t="n"/>
      <c r="J232" s="51">
        <f>IFERROR(G232-H232,0)</f>
        <v/>
      </c>
      <c r="K232" s="52" t="n"/>
      <c r="L232" s="49">
        <f>IF(A232="","",IF(J232&lt;=0,"Paid",IF(AND(K232&lt;TODAY(),K232&lt;&gt;""),"Overdue","Open")))</f>
        <v/>
      </c>
      <c r="M232" s="49" t="n"/>
    </row>
    <row r="233">
      <c r="A233" s="52" t="n"/>
      <c r="B233" s="49" t="n"/>
      <c r="C233" s="49" t="n"/>
      <c r="D233" s="49" t="n"/>
      <c r="E233" s="49">
        <f>IFERROR(VLOOKUP(D233,'Stock Master'!$A$2:$L$49,2,FALSE),"")</f>
        <v/>
      </c>
      <c r="F233" s="49" t="n"/>
      <c r="G233" s="51">
        <f>IFERROR(VLOOKUP(D233,'Stock Master'!$A$2:$L$49,5,FALSE)*F233,0)</f>
        <v/>
      </c>
      <c r="H233" s="51" t="n"/>
      <c r="I233" s="52" t="n"/>
      <c r="J233" s="51">
        <f>IFERROR(G233-H233,0)</f>
        <v/>
      </c>
      <c r="K233" s="52" t="n"/>
      <c r="L233" s="49">
        <f>IF(A233="","",IF(J233&lt;=0,"Paid",IF(AND(K233&lt;TODAY(),K233&lt;&gt;""),"Overdue","Open")))</f>
        <v/>
      </c>
      <c r="M233" s="49" t="n"/>
    </row>
    <row r="234">
      <c r="A234" s="52" t="n"/>
      <c r="B234" s="49" t="n"/>
      <c r="C234" s="49" t="n"/>
      <c r="D234" s="49" t="n"/>
      <c r="E234" s="49">
        <f>IFERROR(VLOOKUP(D234,'Stock Master'!$A$2:$L$49,2,FALSE),"")</f>
        <v/>
      </c>
      <c r="F234" s="49" t="n"/>
      <c r="G234" s="51">
        <f>IFERROR(VLOOKUP(D234,'Stock Master'!$A$2:$L$49,5,FALSE)*F234,0)</f>
        <v/>
      </c>
      <c r="H234" s="51" t="n"/>
      <c r="I234" s="52" t="n"/>
      <c r="J234" s="51">
        <f>IFERROR(G234-H234,0)</f>
        <v/>
      </c>
      <c r="K234" s="52" t="n"/>
      <c r="L234" s="49">
        <f>IF(A234="","",IF(J234&lt;=0,"Paid",IF(AND(K234&lt;TODAY(),K234&lt;&gt;""),"Overdue","Open")))</f>
        <v/>
      </c>
      <c r="M234" s="49" t="n"/>
    </row>
    <row r="235">
      <c r="A235" s="52" t="n"/>
      <c r="B235" s="49" t="n"/>
      <c r="C235" s="49" t="n"/>
      <c r="D235" s="49" t="n"/>
      <c r="E235" s="49">
        <f>IFERROR(VLOOKUP(D235,'Stock Master'!$A$2:$L$49,2,FALSE),"")</f>
        <v/>
      </c>
      <c r="F235" s="49" t="n"/>
      <c r="G235" s="51">
        <f>IFERROR(VLOOKUP(D235,'Stock Master'!$A$2:$L$49,5,FALSE)*F235,0)</f>
        <v/>
      </c>
      <c r="H235" s="51" t="n"/>
      <c r="I235" s="52" t="n"/>
      <c r="J235" s="51">
        <f>IFERROR(G235-H235,0)</f>
        <v/>
      </c>
      <c r="K235" s="52" t="n"/>
      <c r="L235" s="49">
        <f>IF(A235="","",IF(J235&lt;=0,"Paid",IF(AND(K235&lt;TODAY(),K235&lt;&gt;""),"Overdue","Open")))</f>
        <v/>
      </c>
      <c r="M235" s="49" t="n"/>
    </row>
    <row r="236">
      <c r="A236" s="52" t="n"/>
      <c r="B236" s="49" t="n"/>
      <c r="C236" s="49" t="n"/>
      <c r="D236" s="49" t="n"/>
      <c r="E236" s="49">
        <f>IFERROR(VLOOKUP(D236,'Stock Master'!$A$2:$L$49,2,FALSE),"")</f>
        <v/>
      </c>
      <c r="F236" s="49" t="n"/>
      <c r="G236" s="51">
        <f>IFERROR(VLOOKUP(D236,'Stock Master'!$A$2:$L$49,5,FALSE)*F236,0)</f>
        <v/>
      </c>
      <c r="H236" s="51" t="n"/>
      <c r="I236" s="52" t="n"/>
      <c r="J236" s="51">
        <f>IFERROR(G236-H236,0)</f>
        <v/>
      </c>
      <c r="K236" s="52" t="n"/>
      <c r="L236" s="49">
        <f>IF(A236="","",IF(J236&lt;=0,"Paid",IF(AND(K236&lt;TODAY(),K236&lt;&gt;""),"Overdue","Open")))</f>
        <v/>
      </c>
      <c r="M236" s="49" t="n"/>
    </row>
    <row r="237">
      <c r="A237" s="52" t="n"/>
      <c r="B237" s="49" t="n"/>
      <c r="C237" s="49" t="n"/>
      <c r="D237" s="49" t="n"/>
      <c r="E237" s="49">
        <f>IFERROR(VLOOKUP(D237,'Stock Master'!$A$2:$L$49,2,FALSE),"")</f>
        <v/>
      </c>
      <c r="F237" s="49" t="n"/>
      <c r="G237" s="51">
        <f>IFERROR(VLOOKUP(D237,'Stock Master'!$A$2:$L$49,5,FALSE)*F237,0)</f>
        <v/>
      </c>
      <c r="H237" s="51" t="n"/>
      <c r="I237" s="52" t="n"/>
      <c r="J237" s="51">
        <f>IFERROR(G237-H237,0)</f>
        <v/>
      </c>
      <c r="K237" s="52" t="n"/>
      <c r="L237" s="49">
        <f>IF(A237="","",IF(J237&lt;=0,"Paid",IF(AND(K237&lt;TODAY(),K237&lt;&gt;""),"Overdue","Open")))</f>
        <v/>
      </c>
      <c r="M237" s="49" t="n"/>
    </row>
    <row r="238">
      <c r="A238" s="52" t="n"/>
      <c r="B238" s="49" t="n"/>
      <c r="C238" s="49" t="n"/>
      <c r="D238" s="49" t="n"/>
      <c r="E238" s="49">
        <f>IFERROR(VLOOKUP(D238,'Stock Master'!$A$2:$L$49,2,FALSE),"")</f>
        <v/>
      </c>
      <c r="F238" s="49" t="n"/>
      <c r="G238" s="51">
        <f>IFERROR(VLOOKUP(D238,'Stock Master'!$A$2:$L$49,5,FALSE)*F238,0)</f>
        <v/>
      </c>
      <c r="H238" s="51" t="n"/>
      <c r="I238" s="52" t="n"/>
      <c r="J238" s="51">
        <f>IFERROR(G238-H238,0)</f>
        <v/>
      </c>
      <c r="K238" s="52" t="n"/>
      <c r="L238" s="49">
        <f>IF(A238="","",IF(J238&lt;=0,"Paid",IF(AND(K238&lt;TODAY(),K238&lt;&gt;""),"Overdue","Open")))</f>
        <v/>
      </c>
      <c r="M238" s="49" t="n"/>
    </row>
    <row r="239">
      <c r="A239" s="52" t="n"/>
      <c r="B239" s="49" t="n"/>
      <c r="C239" s="49" t="n"/>
      <c r="D239" s="49" t="n"/>
      <c r="E239" s="49">
        <f>IFERROR(VLOOKUP(D239,'Stock Master'!$A$2:$L$49,2,FALSE),"")</f>
        <v/>
      </c>
      <c r="F239" s="49" t="n"/>
      <c r="G239" s="51">
        <f>IFERROR(VLOOKUP(D239,'Stock Master'!$A$2:$L$49,5,FALSE)*F239,0)</f>
        <v/>
      </c>
      <c r="H239" s="51" t="n"/>
      <c r="I239" s="52" t="n"/>
      <c r="J239" s="51">
        <f>IFERROR(G239-H239,0)</f>
        <v/>
      </c>
      <c r="K239" s="52" t="n"/>
      <c r="L239" s="49">
        <f>IF(A239="","",IF(J239&lt;=0,"Paid",IF(AND(K239&lt;TODAY(),K239&lt;&gt;""),"Overdue","Open")))</f>
        <v/>
      </c>
      <c r="M239" s="49" t="n"/>
    </row>
    <row r="240">
      <c r="A240" s="52" t="n"/>
      <c r="B240" s="49" t="n"/>
      <c r="C240" s="49" t="n"/>
      <c r="D240" s="49" t="n"/>
      <c r="E240" s="49">
        <f>IFERROR(VLOOKUP(D240,'Stock Master'!$A$2:$L$49,2,FALSE),"")</f>
        <v/>
      </c>
      <c r="F240" s="49" t="n"/>
      <c r="G240" s="51">
        <f>IFERROR(VLOOKUP(D240,'Stock Master'!$A$2:$L$49,5,FALSE)*F240,0)</f>
        <v/>
      </c>
      <c r="H240" s="51" t="n"/>
      <c r="I240" s="52" t="n"/>
      <c r="J240" s="51">
        <f>IFERROR(G240-H240,0)</f>
        <v/>
      </c>
      <c r="K240" s="52" t="n"/>
      <c r="L240" s="49">
        <f>IF(A240="","",IF(J240&lt;=0,"Paid",IF(AND(K240&lt;TODAY(),K240&lt;&gt;""),"Overdue","Open")))</f>
        <v/>
      </c>
      <c r="M240" s="49" t="n"/>
    </row>
    <row r="241">
      <c r="A241" s="52" t="n"/>
      <c r="B241" s="49" t="n"/>
      <c r="C241" s="49" t="n"/>
      <c r="D241" s="49" t="n"/>
      <c r="E241" s="49">
        <f>IFERROR(VLOOKUP(D241,'Stock Master'!$A$2:$L$49,2,FALSE),"")</f>
        <v/>
      </c>
      <c r="F241" s="49" t="n"/>
      <c r="G241" s="51">
        <f>IFERROR(VLOOKUP(D241,'Stock Master'!$A$2:$L$49,5,FALSE)*F241,0)</f>
        <v/>
      </c>
      <c r="H241" s="51" t="n"/>
      <c r="I241" s="52" t="n"/>
      <c r="J241" s="51">
        <f>IFERROR(G241-H241,0)</f>
        <v/>
      </c>
      <c r="K241" s="52" t="n"/>
      <c r="L241" s="49">
        <f>IF(A241="","",IF(J241&lt;=0,"Paid",IF(AND(K241&lt;TODAY(),K241&lt;&gt;""),"Overdue","Open")))</f>
        <v/>
      </c>
      <c r="M241" s="49" t="n"/>
    </row>
    <row r="242">
      <c r="A242" s="52" t="n"/>
      <c r="B242" s="49" t="n"/>
      <c r="C242" s="49" t="n"/>
      <c r="D242" s="49" t="n"/>
      <c r="E242" s="49">
        <f>IFERROR(VLOOKUP(D242,'Stock Master'!$A$2:$L$49,2,FALSE),"")</f>
        <v/>
      </c>
      <c r="F242" s="49" t="n"/>
      <c r="G242" s="51">
        <f>IFERROR(VLOOKUP(D242,'Stock Master'!$A$2:$L$49,5,FALSE)*F242,0)</f>
        <v/>
      </c>
      <c r="H242" s="51" t="n"/>
      <c r="I242" s="52" t="n"/>
      <c r="J242" s="51">
        <f>IFERROR(G242-H242,0)</f>
        <v/>
      </c>
      <c r="K242" s="52" t="n"/>
      <c r="L242" s="49">
        <f>IF(A242="","",IF(J242&lt;=0,"Paid",IF(AND(K242&lt;TODAY(),K242&lt;&gt;""),"Overdue","Open")))</f>
        <v/>
      </c>
      <c r="M242" s="49" t="n"/>
    </row>
    <row r="243">
      <c r="A243" s="52" t="n"/>
      <c r="B243" s="49" t="n"/>
      <c r="C243" s="49" t="n"/>
      <c r="D243" s="49" t="n"/>
      <c r="E243" s="49">
        <f>IFERROR(VLOOKUP(D243,'Stock Master'!$A$2:$L$49,2,FALSE),"")</f>
        <v/>
      </c>
      <c r="F243" s="49" t="n"/>
      <c r="G243" s="51">
        <f>IFERROR(VLOOKUP(D243,'Stock Master'!$A$2:$L$49,5,FALSE)*F243,0)</f>
        <v/>
      </c>
      <c r="H243" s="51" t="n"/>
      <c r="I243" s="52" t="n"/>
      <c r="J243" s="51">
        <f>IFERROR(G243-H243,0)</f>
        <v/>
      </c>
      <c r="K243" s="52" t="n"/>
      <c r="L243" s="49">
        <f>IF(A243="","",IF(J243&lt;=0,"Paid",IF(AND(K243&lt;TODAY(),K243&lt;&gt;""),"Overdue","Open")))</f>
        <v/>
      </c>
      <c r="M243" s="49" t="n"/>
    </row>
    <row r="244">
      <c r="A244" s="52" t="n"/>
      <c r="B244" s="49" t="n"/>
      <c r="C244" s="49" t="n"/>
      <c r="D244" s="49" t="n"/>
      <c r="E244" s="49">
        <f>IFERROR(VLOOKUP(D244,'Stock Master'!$A$2:$L$49,2,FALSE),"")</f>
        <v/>
      </c>
      <c r="F244" s="49" t="n"/>
      <c r="G244" s="51">
        <f>IFERROR(VLOOKUP(D244,'Stock Master'!$A$2:$L$49,5,FALSE)*F244,0)</f>
        <v/>
      </c>
      <c r="H244" s="51" t="n"/>
      <c r="I244" s="52" t="n"/>
      <c r="J244" s="51">
        <f>IFERROR(G244-H244,0)</f>
        <v/>
      </c>
      <c r="K244" s="52" t="n"/>
      <c r="L244" s="49">
        <f>IF(A244="","",IF(J244&lt;=0,"Paid",IF(AND(K244&lt;TODAY(),K244&lt;&gt;""),"Overdue","Open")))</f>
        <v/>
      </c>
      <c r="M244" s="49" t="n"/>
    </row>
    <row r="245">
      <c r="A245" s="52" t="n"/>
      <c r="B245" s="49" t="n"/>
      <c r="C245" s="49" t="n"/>
      <c r="D245" s="49" t="n"/>
      <c r="E245" s="49">
        <f>IFERROR(VLOOKUP(D245,'Stock Master'!$A$2:$L$49,2,FALSE),"")</f>
        <v/>
      </c>
      <c r="F245" s="49" t="n"/>
      <c r="G245" s="51">
        <f>IFERROR(VLOOKUP(D245,'Stock Master'!$A$2:$L$49,5,FALSE)*F245,0)</f>
        <v/>
      </c>
      <c r="H245" s="51" t="n"/>
      <c r="I245" s="52" t="n"/>
      <c r="J245" s="51">
        <f>IFERROR(G245-H245,0)</f>
        <v/>
      </c>
      <c r="K245" s="52" t="n"/>
      <c r="L245" s="49">
        <f>IF(A245="","",IF(J245&lt;=0,"Paid",IF(AND(K245&lt;TODAY(),K245&lt;&gt;""),"Overdue","Open")))</f>
        <v/>
      </c>
      <c r="M245" s="49" t="n"/>
    </row>
    <row r="246">
      <c r="A246" s="52" t="n"/>
      <c r="B246" s="49" t="n"/>
      <c r="C246" s="49" t="n"/>
      <c r="D246" s="49" t="n"/>
      <c r="E246" s="49">
        <f>IFERROR(VLOOKUP(D246,'Stock Master'!$A$2:$L$49,2,FALSE),"")</f>
        <v/>
      </c>
      <c r="F246" s="49" t="n"/>
      <c r="G246" s="51">
        <f>IFERROR(VLOOKUP(D246,'Stock Master'!$A$2:$L$49,5,FALSE)*F246,0)</f>
        <v/>
      </c>
      <c r="H246" s="51" t="n"/>
      <c r="I246" s="52" t="n"/>
      <c r="J246" s="51">
        <f>IFERROR(G246-H246,0)</f>
        <v/>
      </c>
      <c r="K246" s="52" t="n"/>
      <c r="L246" s="49">
        <f>IF(A246="","",IF(J246&lt;=0,"Paid",IF(AND(K246&lt;TODAY(),K246&lt;&gt;""),"Overdue","Open")))</f>
        <v/>
      </c>
      <c r="M246" s="49" t="n"/>
    </row>
    <row r="247">
      <c r="A247" s="52" t="n"/>
      <c r="B247" s="49" t="n"/>
      <c r="C247" s="49" t="n"/>
      <c r="D247" s="49" t="n"/>
      <c r="E247" s="49">
        <f>IFERROR(VLOOKUP(D247,'Stock Master'!$A$2:$L$49,2,FALSE),"")</f>
        <v/>
      </c>
      <c r="F247" s="49" t="n"/>
      <c r="G247" s="51">
        <f>IFERROR(VLOOKUP(D247,'Stock Master'!$A$2:$L$49,5,FALSE)*F247,0)</f>
        <v/>
      </c>
      <c r="H247" s="51" t="n"/>
      <c r="I247" s="52" t="n"/>
      <c r="J247" s="51">
        <f>IFERROR(G247-H247,0)</f>
        <v/>
      </c>
      <c r="K247" s="52" t="n"/>
      <c r="L247" s="49">
        <f>IF(A247="","",IF(J247&lt;=0,"Paid",IF(AND(K247&lt;TODAY(),K247&lt;&gt;""),"Overdue","Open")))</f>
        <v/>
      </c>
      <c r="M247" s="49" t="n"/>
    </row>
    <row r="248">
      <c r="A248" s="52" t="n"/>
      <c r="B248" s="49" t="n"/>
      <c r="C248" s="49" t="n"/>
      <c r="D248" s="49" t="n"/>
      <c r="E248" s="49">
        <f>IFERROR(VLOOKUP(D248,'Stock Master'!$A$2:$L$49,2,FALSE),"")</f>
        <v/>
      </c>
      <c r="F248" s="49" t="n"/>
      <c r="G248" s="51">
        <f>IFERROR(VLOOKUP(D248,'Stock Master'!$A$2:$L$49,5,FALSE)*F248,0)</f>
        <v/>
      </c>
      <c r="H248" s="51" t="n"/>
      <c r="I248" s="52" t="n"/>
      <c r="J248" s="51">
        <f>IFERROR(G248-H248,0)</f>
        <v/>
      </c>
      <c r="K248" s="52" t="n"/>
      <c r="L248" s="49">
        <f>IF(A248="","",IF(J248&lt;=0,"Paid",IF(AND(K248&lt;TODAY(),K248&lt;&gt;""),"Overdue","Open")))</f>
        <v/>
      </c>
      <c r="M248" s="49" t="n"/>
    </row>
    <row r="249">
      <c r="A249" s="52" t="n"/>
      <c r="B249" s="49" t="n"/>
      <c r="C249" s="49" t="n"/>
      <c r="D249" s="49" t="n"/>
      <c r="E249" s="49">
        <f>IFERROR(VLOOKUP(D249,'Stock Master'!$A$2:$L$49,2,FALSE),"")</f>
        <v/>
      </c>
      <c r="F249" s="49" t="n"/>
      <c r="G249" s="51">
        <f>IFERROR(VLOOKUP(D249,'Stock Master'!$A$2:$L$49,5,FALSE)*F249,0)</f>
        <v/>
      </c>
      <c r="H249" s="51" t="n"/>
      <c r="I249" s="52" t="n"/>
      <c r="J249" s="51">
        <f>IFERROR(G249-H249,0)</f>
        <v/>
      </c>
      <c r="K249" s="52" t="n"/>
      <c r="L249" s="49">
        <f>IF(A249="","",IF(J249&lt;=0,"Paid",IF(AND(K249&lt;TODAY(),K249&lt;&gt;""),"Overdue","Open")))</f>
        <v/>
      </c>
      <c r="M249" s="49" t="n"/>
    </row>
    <row r="250">
      <c r="A250" s="52" t="n"/>
      <c r="B250" s="49" t="n"/>
      <c r="C250" s="49" t="n"/>
      <c r="D250" s="49" t="n"/>
      <c r="E250" s="49">
        <f>IFERROR(VLOOKUP(D250,'Stock Master'!$A$2:$L$49,2,FALSE),"")</f>
        <v/>
      </c>
      <c r="F250" s="49" t="n"/>
      <c r="G250" s="51">
        <f>IFERROR(VLOOKUP(D250,'Stock Master'!$A$2:$L$49,5,FALSE)*F250,0)</f>
        <v/>
      </c>
      <c r="H250" s="51" t="n"/>
      <c r="I250" s="52" t="n"/>
      <c r="J250" s="51">
        <f>IFERROR(G250-H250,0)</f>
        <v/>
      </c>
      <c r="K250" s="52" t="n"/>
      <c r="L250" s="49">
        <f>IF(A250="","",IF(J250&lt;=0,"Paid",IF(AND(K250&lt;TODAY(),K250&lt;&gt;""),"Overdue","Open")))</f>
        <v/>
      </c>
      <c r="M250" s="49" t="n"/>
    </row>
    <row r="251">
      <c r="A251" s="52" t="n"/>
      <c r="B251" s="49" t="n"/>
      <c r="C251" s="49" t="n"/>
      <c r="D251" s="49" t="n"/>
      <c r="E251" s="49">
        <f>IFERROR(VLOOKUP(D251,'Stock Master'!$A$2:$L$49,2,FALSE),"")</f>
        <v/>
      </c>
      <c r="F251" s="49" t="n"/>
      <c r="G251" s="51">
        <f>IFERROR(VLOOKUP(D251,'Stock Master'!$A$2:$L$49,5,FALSE)*F251,0)</f>
        <v/>
      </c>
      <c r="H251" s="51" t="n"/>
      <c r="I251" s="52" t="n"/>
      <c r="J251" s="51">
        <f>IFERROR(G251-H251,0)</f>
        <v/>
      </c>
      <c r="K251" s="52" t="n"/>
      <c r="L251" s="49">
        <f>IF(A251="","",IF(J251&lt;=0,"Paid",IF(AND(K251&lt;TODAY(),K251&lt;&gt;""),"Overdue","Open")))</f>
        <v/>
      </c>
      <c r="M251" s="49" t="n"/>
    </row>
    <row r="252">
      <c r="A252" s="52" t="n"/>
      <c r="B252" s="49" t="n"/>
      <c r="C252" s="49" t="n"/>
      <c r="D252" s="49" t="n"/>
      <c r="E252" s="49">
        <f>IFERROR(VLOOKUP(D252,'Stock Master'!$A$2:$L$49,2,FALSE),"")</f>
        <v/>
      </c>
      <c r="F252" s="49" t="n"/>
      <c r="G252" s="51">
        <f>IFERROR(VLOOKUP(D252,'Stock Master'!$A$2:$L$49,5,FALSE)*F252,0)</f>
        <v/>
      </c>
      <c r="H252" s="51" t="n"/>
      <c r="I252" s="52" t="n"/>
      <c r="J252" s="51">
        <f>IFERROR(G252-H252,0)</f>
        <v/>
      </c>
      <c r="K252" s="52" t="n"/>
      <c r="L252" s="49">
        <f>IF(A252="","",IF(J252&lt;=0,"Paid",IF(AND(K252&lt;TODAY(),K252&lt;&gt;""),"Overdue","Open")))</f>
        <v/>
      </c>
      <c r="M252" s="49" t="n"/>
    </row>
    <row r="253">
      <c r="A253" s="52" t="n"/>
      <c r="B253" s="49" t="n"/>
      <c r="C253" s="49" t="n"/>
      <c r="D253" s="49" t="n"/>
      <c r="E253" s="49">
        <f>IFERROR(VLOOKUP(D253,'Stock Master'!$A$2:$L$49,2,FALSE),"")</f>
        <v/>
      </c>
      <c r="F253" s="49" t="n"/>
      <c r="G253" s="51">
        <f>IFERROR(VLOOKUP(D253,'Stock Master'!$A$2:$L$49,5,FALSE)*F253,0)</f>
        <v/>
      </c>
      <c r="H253" s="51" t="n"/>
      <c r="I253" s="52" t="n"/>
      <c r="J253" s="51">
        <f>IFERROR(G253-H253,0)</f>
        <v/>
      </c>
      <c r="K253" s="52" t="n"/>
      <c r="L253" s="49">
        <f>IF(A253="","",IF(J253&lt;=0,"Paid",IF(AND(K253&lt;TODAY(),K253&lt;&gt;""),"Overdue","Open")))</f>
        <v/>
      </c>
      <c r="M253" s="49" t="n"/>
    </row>
    <row r="254">
      <c r="A254" s="52" t="n"/>
      <c r="B254" s="49" t="n"/>
      <c r="C254" s="49" t="n"/>
      <c r="D254" s="49" t="n"/>
      <c r="E254" s="49">
        <f>IFERROR(VLOOKUP(D254,'Stock Master'!$A$2:$L$49,2,FALSE),"")</f>
        <v/>
      </c>
      <c r="F254" s="49" t="n"/>
      <c r="G254" s="51">
        <f>IFERROR(VLOOKUP(D254,'Stock Master'!$A$2:$L$49,5,FALSE)*F254,0)</f>
        <v/>
      </c>
      <c r="H254" s="51" t="n"/>
      <c r="I254" s="52" t="n"/>
      <c r="J254" s="51">
        <f>IFERROR(G254-H254,0)</f>
        <v/>
      </c>
      <c r="K254" s="52" t="n"/>
      <c r="L254" s="49">
        <f>IF(A254="","",IF(J254&lt;=0,"Paid",IF(AND(K254&lt;TODAY(),K254&lt;&gt;""),"Overdue","Open")))</f>
        <v/>
      </c>
      <c r="M254" s="49" t="n"/>
    </row>
    <row r="255">
      <c r="A255" s="52" t="n"/>
      <c r="B255" s="49" t="n"/>
      <c r="C255" s="49" t="n"/>
      <c r="D255" s="49" t="n"/>
      <c r="E255" s="49">
        <f>IFERROR(VLOOKUP(D255,'Stock Master'!$A$2:$L$49,2,FALSE),"")</f>
        <v/>
      </c>
      <c r="F255" s="49" t="n"/>
      <c r="G255" s="51">
        <f>IFERROR(VLOOKUP(D255,'Stock Master'!$A$2:$L$49,5,FALSE)*F255,0)</f>
        <v/>
      </c>
      <c r="H255" s="51" t="n"/>
      <c r="I255" s="52" t="n"/>
      <c r="J255" s="51">
        <f>IFERROR(G255-H255,0)</f>
        <v/>
      </c>
      <c r="K255" s="52" t="n"/>
      <c r="L255" s="49">
        <f>IF(A255="","",IF(J255&lt;=0,"Paid",IF(AND(K255&lt;TODAY(),K255&lt;&gt;""),"Overdue","Open")))</f>
        <v/>
      </c>
      <c r="M255" s="49" t="n"/>
    </row>
    <row r="256">
      <c r="A256" s="52" t="n"/>
      <c r="B256" s="49" t="n"/>
      <c r="C256" s="49" t="n"/>
      <c r="D256" s="49" t="n"/>
      <c r="E256" s="49">
        <f>IFERROR(VLOOKUP(D256,'Stock Master'!$A$2:$L$49,2,FALSE),"")</f>
        <v/>
      </c>
      <c r="F256" s="49" t="n"/>
      <c r="G256" s="51">
        <f>IFERROR(VLOOKUP(D256,'Stock Master'!$A$2:$L$49,5,FALSE)*F256,0)</f>
        <v/>
      </c>
      <c r="H256" s="51" t="n"/>
      <c r="I256" s="52" t="n"/>
      <c r="J256" s="51">
        <f>IFERROR(G256-H256,0)</f>
        <v/>
      </c>
      <c r="K256" s="52" t="n"/>
      <c r="L256" s="49">
        <f>IF(A256="","",IF(J256&lt;=0,"Paid",IF(AND(K256&lt;TODAY(),K256&lt;&gt;""),"Overdue","Open")))</f>
        <v/>
      </c>
      <c r="M256" s="49" t="n"/>
    </row>
    <row r="257">
      <c r="A257" s="52" t="n"/>
      <c r="B257" s="49" t="n"/>
      <c r="C257" s="49" t="n"/>
      <c r="D257" s="49" t="n"/>
      <c r="E257" s="49">
        <f>IFERROR(VLOOKUP(D257,'Stock Master'!$A$2:$L$49,2,FALSE),"")</f>
        <v/>
      </c>
      <c r="F257" s="49" t="n"/>
      <c r="G257" s="51">
        <f>IFERROR(VLOOKUP(D257,'Stock Master'!$A$2:$L$49,5,FALSE)*F257,0)</f>
        <v/>
      </c>
      <c r="H257" s="51" t="n"/>
      <c r="I257" s="52" t="n"/>
      <c r="J257" s="51">
        <f>IFERROR(G257-H257,0)</f>
        <v/>
      </c>
      <c r="K257" s="52" t="n"/>
      <c r="L257" s="49">
        <f>IF(A257="","",IF(J257&lt;=0,"Paid",IF(AND(K257&lt;TODAY(),K257&lt;&gt;""),"Overdue","Open")))</f>
        <v/>
      </c>
      <c r="M257" s="49" t="n"/>
    </row>
    <row r="258">
      <c r="A258" s="52" t="n"/>
      <c r="B258" s="49" t="n"/>
      <c r="C258" s="49" t="n"/>
      <c r="D258" s="49" t="n"/>
      <c r="E258" s="49">
        <f>IFERROR(VLOOKUP(D258,'Stock Master'!$A$2:$L$49,2,FALSE),"")</f>
        <v/>
      </c>
      <c r="F258" s="49" t="n"/>
      <c r="G258" s="51">
        <f>IFERROR(VLOOKUP(D258,'Stock Master'!$A$2:$L$49,5,FALSE)*F258,0)</f>
        <v/>
      </c>
      <c r="H258" s="51" t="n"/>
      <c r="I258" s="52" t="n"/>
      <c r="J258" s="51">
        <f>IFERROR(G258-H258,0)</f>
        <v/>
      </c>
      <c r="K258" s="52" t="n"/>
      <c r="L258" s="49">
        <f>IF(A258="","",IF(J258&lt;=0,"Paid",IF(AND(K258&lt;TODAY(),K258&lt;&gt;""),"Overdue","Open")))</f>
        <v/>
      </c>
      <c r="M258" s="49" t="n"/>
    </row>
    <row r="259">
      <c r="A259" s="52" t="n"/>
      <c r="B259" s="49" t="n"/>
      <c r="C259" s="49" t="n"/>
      <c r="D259" s="49" t="n"/>
      <c r="E259" s="49">
        <f>IFERROR(VLOOKUP(D259,'Stock Master'!$A$2:$L$49,2,FALSE),"")</f>
        <v/>
      </c>
      <c r="F259" s="49" t="n"/>
      <c r="G259" s="51">
        <f>IFERROR(VLOOKUP(D259,'Stock Master'!$A$2:$L$49,5,FALSE)*F259,0)</f>
        <v/>
      </c>
      <c r="H259" s="51" t="n"/>
      <c r="I259" s="52" t="n"/>
      <c r="J259" s="51">
        <f>IFERROR(G259-H259,0)</f>
        <v/>
      </c>
      <c r="K259" s="52" t="n"/>
      <c r="L259" s="49">
        <f>IF(A259="","",IF(J259&lt;=0,"Paid",IF(AND(K259&lt;TODAY(),K259&lt;&gt;""),"Overdue","Open")))</f>
        <v/>
      </c>
      <c r="M259" s="49" t="n"/>
    </row>
    <row r="260">
      <c r="A260" s="52" t="n"/>
      <c r="B260" s="49" t="n"/>
      <c r="C260" s="49" t="n"/>
      <c r="D260" s="49" t="n"/>
      <c r="E260" s="49">
        <f>IFERROR(VLOOKUP(D260,'Stock Master'!$A$2:$L$49,2,FALSE),"")</f>
        <v/>
      </c>
      <c r="F260" s="49" t="n"/>
      <c r="G260" s="51">
        <f>IFERROR(VLOOKUP(D260,'Stock Master'!$A$2:$L$49,5,FALSE)*F260,0)</f>
        <v/>
      </c>
      <c r="H260" s="51" t="n"/>
      <c r="I260" s="52" t="n"/>
      <c r="J260" s="51">
        <f>IFERROR(G260-H260,0)</f>
        <v/>
      </c>
      <c r="K260" s="52" t="n"/>
      <c r="L260" s="49">
        <f>IF(A260="","",IF(J260&lt;=0,"Paid",IF(AND(K260&lt;TODAY(),K260&lt;&gt;""),"Overdue","Open")))</f>
        <v/>
      </c>
      <c r="M260" s="49" t="n"/>
    </row>
    <row r="261">
      <c r="A261" s="52" t="n"/>
      <c r="B261" s="49" t="n"/>
      <c r="C261" s="49" t="n"/>
      <c r="D261" s="49" t="n"/>
      <c r="E261" s="49">
        <f>IFERROR(VLOOKUP(D261,'Stock Master'!$A$2:$L$49,2,FALSE),"")</f>
        <v/>
      </c>
      <c r="F261" s="49" t="n"/>
      <c r="G261" s="51">
        <f>IFERROR(VLOOKUP(D261,'Stock Master'!$A$2:$L$49,5,FALSE)*F261,0)</f>
        <v/>
      </c>
      <c r="H261" s="51" t="n"/>
      <c r="I261" s="52" t="n"/>
      <c r="J261" s="51">
        <f>IFERROR(G261-H261,0)</f>
        <v/>
      </c>
      <c r="K261" s="52" t="n"/>
      <c r="L261" s="49">
        <f>IF(A261="","",IF(J261&lt;=0,"Paid",IF(AND(K261&lt;TODAY(),K261&lt;&gt;""),"Overdue","Open")))</f>
        <v/>
      </c>
      <c r="M261" s="49" t="n"/>
    </row>
    <row r="262">
      <c r="A262" s="52" t="n"/>
      <c r="B262" s="49" t="n"/>
      <c r="C262" s="49" t="n"/>
      <c r="D262" s="49" t="n"/>
      <c r="E262" s="49">
        <f>IFERROR(VLOOKUP(D262,'Stock Master'!$A$2:$L$49,2,FALSE),"")</f>
        <v/>
      </c>
      <c r="F262" s="49" t="n"/>
      <c r="G262" s="51">
        <f>IFERROR(VLOOKUP(D262,'Stock Master'!$A$2:$L$49,5,FALSE)*F262,0)</f>
        <v/>
      </c>
      <c r="H262" s="51" t="n"/>
      <c r="I262" s="52" t="n"/>
      <c r="J262" s="51">
        <f>IFERROR(G262-H262,0)</f>
        <v/>
      </c>
      <c r="K262" s="52" t="n"/>
      <c r="L262" s="49">
        <f>IF(A262="","",IF(J262&lt;=0,"Paid",IF(AND(K262&lt;TODAY(),K262&lt;&gt;""),"Overdue","Open")))</f>
        <v/>
      </c>
      <c r="M262" s="49" t="n"/>
    </row>
    <row r="263">
      <c r="A263" s="52" t="n"/>
      <c r="B263" s="49" t="n"/>
      <c r="C263" s="49" t="n"/>
      <c r="D263" s="49" t="n"/>
      <c r="E263" s="49">
        <f>IFERROR(VLOOKUP(D263,'Stock Master'!$A$2:$L$49,2,FALSE),"")</f>
        <v/>
      </c>
      <c r="F263" s="49" t="n"/>
      <c r="G263" s="51">
        <f>IFERROR(VLOOKUP(D263,'Stock Master'!$A$2:$L$49,5,FALSE)*F263,0)</f>
        <v/>
      </c>
      <c r="H263" s="51" t="n"/>
      <c r="I263" s="52" t="n"/>
      <c r="J263" s="51">
        <f>IFERROR(G263-H263,0)</f>
        <v/>
      </c>
      <c r="K263" s="52" t="n"/>
      <c r="L263" s="49">
        <f>IF(A263="","",IF(J263&lt;=0,"Paid",IF(AND(K263&lt;TODAY(),K263&lt;&gt;""),"Overdue","Open")))</f>
        <v/>
      </c>
      <c r="M263" s="49" t="n"/>
    </row>
    <row r="264">
      <c r="A264" s="52" t="n"/>
      <c r="B264" s="49" t="n"/>
      <c r="C264" s="49" t="n"/>
      <c r="D264" s="49" t="n"/>
      <c r="E264" s="49">
        <f>IFERROR(VLOOKUP(D264,'Stock Master'!$A$2:$L$49,2,FALSE),"")</f>
        <v/>
      </c>
      <c r="F264" s="49" t="n"/>
      <c r="G264" s="51">
        <f>IFERROR(VLOOKUP(D264,'Stock Master'!$A$2:$L$49,5,FALSE)*F264,0)</f>
        <v/>
      </c>
      <c r="H264" s="51" t="n"/>
      <c r="I264" s="52" t="n"/>
      <c r="J264" s="51">
        <f>IFERROR(G264-H264,0)</f>
        <v/>
      </c>
      <c r="K264" s="52" t="n"/>
      <c r="L264" s="49">
        <f>IF(A264="","",IF(J264&lt;=0,"Paid",IF(AND(K264&lt;TODAY(),K264&lt;&gt;""),"Overdue","Open")))</f>
        <v/>
      </c>
      <c r="M264" s="49" t="n"/>
    </row>
    <row r="265">
      <c r="A265" s="52" t="n"/>
      <c r="B265" s="49" t="n"/>
      <c r="C265" s="49" t="n"/>
      <c r="D265" s="49" t="n"/>
      <c r="E265" s="49">
        <f>IFERROR(VLOOKUP(D265,'Stock Master'!$A$2:$L$49,2,FALSE),"")</f>
        <v/>
      </c>
      <c r="F265" s="49" t="n"/>
      <c r="G265" s="51">
        <f>IFERROR(VLOOKUP(D265,'Stock Master'!$A$2:$L$49,5,FALSE)*F265,0)</f>
        <v/>
      </c>
      <c r="H265" s="51" t="n"/>
      <c r="I265" s="52" t="n"/>
      <c r="J265" s="51">
        <f>IFERROR(G265-H265,0)</f>
        <v/>
      </c>
      <c r="K265" s="52" t="n"/>
      <c r="L265" s="49">
        <f>IF(A265="","",IF(J265&lt;=0,"Paid",IF(AND(K265&lt;TODAY(),K265&lt;&gt;""),"Overdue","Open")))</f>
        <v/>
      </c>
      <c r="M265" s="49" t="n"/>
    </row>
    <row r="266">
      <c r="A266" s="52" t="n"/>
      <c r="B266" s="49" t="n"/>
      <c r="C266" s="49" t="n"/>
      <c r="D266" s="49" t="n"/>
      <c r="E266" s="49">
        <f>IFERROR(VLOOKUP(D266,'Stock Master'!$A$2:$L$49,2,FALSE),"")</f>
        <v/>
      </c>
      <c r="F266" s="49" t="n"/>
      <c r="G266" s="51">
        <f>IFERROR(VLOOKUP(D266,'Stock Master'!$A$2:$L$49,5,FALSE)*F266,0)</f>
        <v/>
      </c>
      <c r="H266" s="51" t="n"/>
      <c r="I266" s="52" t="n"/>
      <c r="J266" s="51">
        <f>IFERROR(G266-H266,0)</f>
        <v/>
      </c>
      <c r="K266" s="52" t="n"/>
      <c r="L266" s="49">
        <f>IF(A266="","",IF(J266&lt;=0,"Paid",IF(AND(K266&lt;TODAY(),K266&lt;&gt;""),"Overdue","Open")))</f>
        <v/>
      </c>
      <c r="M266" s="49" t="n"/>
    </row>
    <row r="267">
      <c r="A267" s="52" t="n"/>
      <c r="B267" s="49" t="n"/>
      <c r="C267" s="49" t="n"/>
      <c r="D267" s="49" t="n"/>
      <c r="E267" s="49">
        <f>IFERROR(VLOOKUP(D267,'Stock Master'!$A$2:$L$49,2,FALSE),"")</f>
        <v/>
      </c>
      <c r="F267" s="49" t="n"/>
      <c r="G267" s="51">
        <f>IFERROR(VLOOKUP(D267,'Stock Master'!$A$2:$L$49,5,FALSE)*F267,0)</f>
        <v/>
      </c>
      <c r="H267" s="51" t="n"/>
      <c r="I267" s="52" t="n"/>
      <c r="J267" s="51">
        <f>IFERROR(G267-H267,0)</f>
        <v/>
      </c>
      <c r="K267" s="52" t="n"/>
      <c r="L267" s="49">
        <f>IF(A267="","",IF(J267&lt;=0,"Paid",IF(AND(K267&lt;TODAY(),K267&lt;&gt;""),"Overdue","Open")))</f>
        <v/>
      </c>
      <c r="M267" s="49" t="n"/>
    </row>
    <row r="268">
      <c r="A268" s="52" t="n"/>
      <c r="B268" s="49" t="n"/>
      <c r="C268" s="49" t="n"/>
      <c r="D268" s="49" t="n"/>
      <c r="E268" s="49">
        <f>IFERROR(VLOOKUP(D268,'Stock Master'!$A$2:$L$49,2,FALSE),"")</f>
        <v/>
      </c>
      <c r="F268" s="49" t="n"/>
      <c r="G268" s="51">
        <f>IFERROR(VLOOKUP(D268,'Stock Master'!$A$2:$L$49,5,FALSE)*F268,0)</f>
        <v/>
      </c>
      <c r="H268" s="51" t="n"/>
      <c r="I268" s="52" t="n"/>
      <c r="J268" s="51">
        <f>IFERROR(G268-H268,0)</f>
        <v/>
      </c>
      <c r="K268" s="52" t="n"/>
      <c r="L268" s="49">
        <f>IF(A268="","",IF(J268&lt;=0,"Paid",IF(AND(K268&lt;TODAY(),K268&lt;&gt;""),"Overdue","Open")))</f>
        <v/>
      </c>
      <c r="M268" s="49" t="n"/>
    </row>
    <row r="269">
      <c r="A269" s="52" t="n"/>
      <c r="B269" s="49" t="n"/>
      <c r="C269" s="49" t="n"/>
      <c r="D269" s="49" t="n"/>
      <c r="E269" s="49">
        <f>IFERROR(VLOOKUP(D269,'Stock Master'!$A$2:$L$49,2,FALSE),"")</f>
        <v/>
      </c>
      <c r="F269" s="49" t="n"/>
      <c r="G269" s="51">
        <f>IFERROR(VLOOKUP(D269,'Stock Master'!$A$2:$L$49,5,FALSE)*F269,0)</f>
        <v/>
      </c>
      <c r="H269" s="51" t="n"/>
      <c r="I269" s="52" t="n"/>
      <c r="J269" s="51">
        <f>IFERROR(G269-H269,0)</f>
        <v/>
      </c>
      <c r="K269" s="52" t="n"/>
      <c r="L269" s="49">
        <f>IF(A269="","",IF(J269&lt;=0,"Paid",IF(AND(K269&lt;TODAY(),K269&lt;&gt;""),"Overdue","Open")))</f>
        <v/>
      </c>
      <c r="M269" s="49" t="n"/>
    </row>
    <row r="270">
      <c r="A270" s="52" t="n"/>
      <c r="B270" s="49" t="n"/>
      <c r="C270" s="49" t="n"/>
      <c r="D270" s="49" t="n"/>
      <c r="E270" s="49">
        <f>IFERROR(VLOOKUP(D270,'Stock Master'!$A$2:$L$49,2,FALSE),"")</f>
        <v/>
      </c>
      <c r="F270" s="49" t="n"/>
      <c r="G270" s="51">
        <f>IFERROR(VLOOKUP(D270,'Stock Master'!$A$2:$L$49,5,FALSE)*F270,0)</f>
        <v/>
      </c>
      <c r="H270" s="51" t="n"/>
      <c r="I270" s="52" t="n"/>
      <c r="J270" s="51">
        <f>IFERROR(G270-H270,0)</f>
        <v/>
      </c>
      <c r="K270" s="52" t="n"/>
      <c r="L270" s="49">
        <f>IF(A270="","",IF(J270&lt;=0,"Paid",IF(AND(K270&lt;TODAY(),K270&lt;&gt;""),"Overdue","Open")))</f>
        <v/>
      </c>
      <c r="M270" s="49" t="n"/>
    </row>
    <row r="271">
      <c r="A271" s="52" t="n"/>
      <c r="B271" s="49" t="n"/>
      <c r="C271" s="49" t="n"/>
      <c r="D271" s="49" t="n"/>
      <c r="E271" s="49">
        <f>IFERROR(VLOOKUP(D271,'Stock Master'!$A$2:$L$49,2,FALSE),"")</f>
        <v/>
      </c>
      <c r="F271" s="49" t="n"/>
      <c r="G271" s="51">
        <f>IFERROR(VLOOKUP(D271,'Stock Master'!$A$2:$L$49,5,FALSE)*F271,0)</f>
        <v/>
      </c>
      <c r="H271" s="51" t="n"/>
      <c r="I271" s="52" t="n"/>
      <c r="J271" s="51">
        <f>IFERROR(G271-H271,0)</f>
        <v/>
      </c>
      <c r="K271" s="52" t="n"/>
      <c r="L271" s="49">
        <f>IF(A271="","",IF(J271&lt;=0,"Paid",IF(AND(K271&lt;TODAY(),K271&lt;&gt;""),"Overdue","Open")))</f>
        <v/>
      </c>
      <c r="M271" s="49" t="n"/>
    </row>
    <row r="272">
      <c r="A272" s="52" t="n"/>
      <c r="B272" s="49" t="n"/>
      <c r="C272" s="49" t="n"/>
      <c r="D272" s="49" t="n"/>
      <c r="E272" s="49">
        <f>IFERROR(VLOOKUP(D272,'Stock Master'!$A$2:$L$49,2,FALSE),"")</f>
        <v/>
      </c>
      <c r="F272" s="49" t="n"/>
      <c r="G272" s="51">
        <f>IFERROR(VLOOKUP(D272,'Stock Master'!$A$2:$L$49,5,FALSE)*F272,0)</f>
        <v/>
      </c>
      <c r="H272" s="51" t="n"/>
      <c r="I272" s="52" t="n"/>
      <c r="J272" s="51">
        <f>IFERROR(G272-H272,0)</f>
        <v/>
      </c>
      <c r="K272" s="52" t="n"/>
      <c r="L272" s="49">
        <f>IF(A272="","",IF(J272&lt;=0,"Paid",IF(AND(K272&lt;TODAY(),K272&lt;&gt;""),"Overdue","Open")))</f>
        <v/>
      </c>
      <c r="M272" s="49" t="n"/>
    </row>
    <row r="273">
      <c r="A273" s="52" t="n"/>
      <c r="B273" s="49" t="n"/>
      <c r="C273" s="49" t="n"/>
      <c r="D273" s="49" t="n"/>
      <c r="E273" s="49">
        <f>IFERROR(VLOOKUP(D273,'Stock Master'!$A$2:$L$49,2,FALSE),"")</f>
        <v/>
      </c>
      <c r="F273" s="49" t="n"/>
      <c r="G273" s="51">
        <f>IFERROR(VLOOKUP(D273,'Stock Master'!$A$2:$L$49,5,FALSE)*F273,0)</f>
        <v/>
      </c>
      <c r="H273" s="51" t="n"/>
      <c r="I273" s="52" t="n"/>
      <c r="J273" s="51">
        <f>IFERROR(G273-H273,0)</f>
        <v/>
      </c>
      <c r="K273" s="52" t="n"/>
      <c r="L273" s="49">
        <f>IF(A273="","",IF(J273&lt;=0,"Paid",IF(AND(K273&lt;TODAY(),K273&lt;&gt;""),"Overdue","Open")))</f>
        <v/>
      </c>
      <c r="M273" s="49" t="n"/>
    </row>
    <row r="274">
      <c r="A274" s="52" t="n"/>
      <c r="B274" s="49" t="n"/>
      <c r="C274" s="49" t="n"/>
      <c r="D274" s="49" t="n"/>
      <c r="E274" s="49">
        <f>IFERROR(VLOOKUP(D274,'Stock Master'!$A$2:$L$49,2,FALSE),"")</f>
        <v/>
      </c>
      <c r="F274" s="49" t="n"/>
      <c r="G274" s="51">
        <f>IFERROR(VLOOKUP(D274,'Stock Master'!$A$2:$L$49,5,FALSE)*F274,0)</f>
        <v/>
      </c>
      <c r="H274" s="51" t="n"/>
      <c r="I274" s="52" t="n"/>
      <c r="J274" s="51">
        <f>IFERROR(G274-H274,0)</f>
        <v/>
      </c>
      <c r="K274" s="52" t="n"/>
      <c r="L274" s="49">
        <f>IF(A274="","",IF(J274&lt;=0,"Paid",IF(AND(K274&lt;TODAY(),K274&lt;&gt;""),"Overdue","Open")))</f>
        <v/>
      </c>
      <c r="M274" s="49" t="n"/>
    </row>
    <row r="275">
      <c r="A275" s="52" t="n"/>
      <c r="B275" s="49" t="n"/>
      <c r="C275" s="49" t="n"/>
      <c r="D275" s="49" t="n"/>
      <c r="E275" s="49">
        <f>IFERROR(VLOOKUP(D275,'Stock Master'!$A$2:$L$49,2,FALSE),"")</f>
        <v/>
      </c>
      <c r="F275" s="49" t="n"/>
      <c r="G275" s="51">
        <f>IFERROR(VLOOKUP(D275,'Stock Master'!$A$2:$L$49,5,FALSE)*F275,0)</f>
        <v/>
      </c>
      <c r="H275" s="51" t="n"/>
      <c r="I275" s="52" t="n"/>
      <c r="J275" s="51">
        <f>IFERROR(G275-H275,0)</f>
        <v/>
      </c>
      <c r="K275" s="52" t="n"/>
      <c r="L275" s="49">
        <f>IF(A275="","",IF(J275&lt;=0,"Paid",IF(AND(K275&lt;TODAY(),K275&lt;&gt;""),"Overdue","Open")))</f>
        <v/>
      </c>
      <c r="M275" s="49" t="n"/>
    </row>
    <row r="276">
      <c r="A276" s="52" t="n"/>
      <c r="B276" s="49" t="n"/>
      <c r="C276" s="49" t="n"/>
      <c r="D276" s="49" t="n"/>
      <c r="E276" s="49">
        <f>IFERROR(VLOOKUP(D276,'Stock Master'!$A$2:$L$49,2,FALSE),"")</f>
        <v/>
      </c>
      <c r="F276" s="49" t="n"/>
      <c r="G276" s="51">
        <f>IFERROR(VLOOKUP(D276,'Stock Master'!$A$2:$L$49,5,FALSE)*F276,0)</f>
        <v/>
      </c>
      <c r="H276" s="51" t="n"/>
      <c r="I276" s="52" t="n"/>
      <c r="J276" s="51">
        <f>IFERROR(G276-H276,0)</f>
        <v/>
      </c>
      <c r="K276" s="52" t="n"/>
      <c r="L276" s="49">
        <f>IF(A276="","",IF(J276&lt;=0,"Paid",IF(AND(K276&lt;TODAY(),K276&lt;&gt;""),"Overdue","Open")))</f>
        <v/>
      </c>
      <c r="M276" s="49" t="n"/>
    </row>
    <row r="277">
      <c r="A277" s="52" t="n"/>
      <c r="B277" s="49" t="n"/>
      <c r="C277" s="49" t="n"/>
      <c r="D277" s="49" t="n"/>
      <c r="E277" s="49">
        <f>IFERROR(VLOOKUP(D277,'Stock Master'!$A$2:$L$49,2,FALSE),"")</f>
        <v/>
      </c>
      <c r="F277" s="49" t="n"/>
      <c r="G277" s="51">
        <f>IFERROR(VLOOKUP(D277,'Stock Master'!$A$2:$L$49,5,FALSE)*F277,0)</f>
        <v/>
      </c>
      <c r="H277" s="51" t="n"/>
      <c r="I277" s="52" t="n"/>
      <c r="J277" s="51">
        <f>IFERROR(G277-H277,0)</f>
        <v/>
      </c>
      <c r="K277" s="52" t="n"/>
      <c r="L277" s="49">
        <f>IF(A277="","",IF(J277&lt;=0,"Paid",IF(AND(K277&lt;TODAY(),K277&lt;&gt;""),"Overdue","Open")))</f>
        <v/>
      </c>
      <c r="M277" s="49" t="n"/>
    </row>
    <row r="278">
      <c r="A278" s="52" t="n"/>
      <c r="B278" s="49" t="n"/>
      <c r="C278" s="49" t="n"/>
      <c r="D278" s="49" t="n"/>
      <c r="E278" s="49">
        <f>IFERROR(VLOOKUP(D278,'Stock Master'!$A$2:$L$49,2,FALSE),"")</f>
        <v/>
      </c>
      <c r="F278" s="49" t="n"/>
      <c r="G278" s="51">
        <f>IFERROR(VLOOKUP(D278,'Stock Master'!$A$2:$L$49,5,FALSE)*F278,0)</f>
        <v/>
      </c>
      <c r="H278" s="51" t="n"/>
      <c r="I278" s="52" t="n"/>
      <c r="J278" s="51">
        <f>IFERROR(G278-H278,0)</f>
        <v/>
      </c>
      <c r="K278" s="52" t="n"/>
      <c r="L278" s="49">
        <f>IF(A278="","",IF(J278&lt;=0,"Paid",IF(AND(K278&lt;TODAY(),K278&lt;&gt;""),"Overdue","Open")))</f>
        <v/>
      </c>
      <c r="M278" s="49" t="n"/>
    </row>
    <row r="279">
      <c r="A279" s="52" t="n"/>
      <c r="B279" s="49" t="n"/>
      <c r="C279" s="49" t="n"/>
      <c r="D279" s="49" t="n"/>
      <c r="E279" s="49">
        <f>IFERROR(VLOOKUP(D279,'Stock Master'!$A$2:$L$49,2,FALSE),"")</f>
        <v/>
      </c>
      <c r="F279" s="49" t="n"/>
      <c r="G279" s="51">
        <f>IFERROR(VLOOKUP(D279,'Stock Master'!$A$2:$L$49,5,FALSE)*F279,0)</f>
        <v/>
      </c>
      <c r="H279" s="51" t="n"/>
      <c r="I279" s="52" t="n"/>
      <c r="J279" s="51">
        <f>IFERROR(G279-H279,0)</f>
        <v/>
      </c>
      <c r="K279" s="52" t="n"/>
      <c r="L279" s="49">
        <f>IF(A279="","",IF(J279&lt;=0,"Paid",IF(AND(K279&lt;TODAY(),K279&lt;&gt;""),"Overdue","Open")))</f>
        <v/>
      </c>
      <c r="M279" s="49" t="n"/>
    </row>
    <row r="280">
      <c r="A280" s="52" t="n"/>
      <c r="B280" s="49" t="n"/>
      <c r="C280" s="49" t="n"/>
      <c r="D280" s="49" t="n"/>
      <c r="E280" s="49">
        <f>IFERROR(VLOOKUP(D280,'Stock Master'!$A$2:$L$49,2,FALSE),"")</f>
        <v/>
      </c>
      <c r="F280" s="49" t="n"/>
      <c r="G280" s="51">
        <f>IFERROR(VLOOKUP(D280,'Stock Master'!$A$2:$L$49,5,FALSE)*F280,0)</f>
        <v/>
      </c>
      <c r="H280" s="51" t="n"/>
      <c r="I280" s="52" t="n"/>
      <c r="J280" s="51">
        <f>IFERROR(G280-H280,0)</f>
        <v/>
      </c>
      <c r="K280" s="52" t="n"/>
      <c r="L280" s="49">
        <f>IF(A280="","",IF(J280&lt;=0,"Paid",IF(AND(K280&lt;TODAY(),K280&lt;&gt;""),"Overdue","Open")))</f>
        <v/>
      </c>
      <c r="M280" s="49" t="n"/>
    </row>
    <row r="281">
      <c r="A281" s="52" t="n"/>
      <c r="B281" s="49" t="n"/>
      <c r="C281" s="49" t="n"/>
      <c r="D281" s="49" t="n"/>
      <c r="E281" s="49">
        <f>IFERROR(VLOOKUP(D281,'Stock Master'!$A$2:$L$49,2,FALSE),"")</f>
        <v/>
      </c>
      <c r="F281" s="49" t="n"/>
      <c r="G281" s="51">
        <f>IFERROR(VLOOKUP(D281,'Stock Master'!$A$2:$L$49,5,FALSE)*F281,0)</f>
        <v/>
      </c>
      <c r="H281" s="51" t="n"/>
      <c r="I281" s="52" t="n"/>
      <c r="J281" s="51">
        <f>IFERROR(G281-H281,0)</f>
        <v/>
      </c>
      <c r="K281" s="52" t="n"/>
      <c r="L281" s="49">
        <f>IF(A281="","",IF(J281&lt;=0,"Paid",IF(AND(K281&lt;TODAY(),K281&lt;&gt;""),"Overdue","Open")))</f>
        <v/>
      </c>
      <c r="M281" s="49" t="n"/>
    </row>
    <row r="282">
      <c r="A282" s="52" t="n"/>
      <c r="B282" s="49" t="n"/>
      <c r="C282" s="49" t="n"/>
      <c r="D282" s="49" t="n"/>
      <c r="E282" s="49">
        <f>IFERROR(VLOOKUP(D282,'Stock Master'!$A$2:$L$49,2,FALSE),"")</f>
        <v/>
      </c>
      <c r="F282" s="49" t="n"/>
      <c r="G282" s="51">
        <f>IFERROR(VLOOKUP(D282,'Stock Master'!$A$2:$L$49,5,FALSE)*F282,0)</f>
        <v/>
      </c>
      <c r="H282" s="51" t="n"/>
      <c r="I282" s="52" t="n"/>
      <c r="J282" s="51">
        <f>IFERROR(G282-H282,0)</f>
        <v/>
      </c>
      <c r="K282" s="52" t="n"/>
      <c r="L282" s="49">
        <f>IF(A282="","",IF(J282&lt;=0,"Paid",IF(AND(K282&lt;TODAY(),K282&lt;&gt;""),"Overdue","Open")))</f>
        <v/>
      </c>
      <c r="M282" s="49" t="n"/>
    </row>
    <row r="283">
      <c r="A283" s="52" t="n"/>
      <c r="B283" s="49" t="n"/>
      <c r="C283" s="49" t="n"/>
      <c r="D283" s="49" t="n"/>
      <c r="E283" s="49">
        <f>IFERROR(VLOOKUP(D283,'Stock Master'!$A$2:$L$49,2,FALSE),"")</f>
        <v/>
      </c>
      <c r="F283" s="49" t="n"/>
      <c r="G283" s="51">
        <f>IFERROR(VLOOKUP(D283,'Stock Master'!$A$2:$L$49,5,FALSE)*F283,0)</f>
        <v/>
      </c>
      <c r="H283" s="51" t="n"/>
      <c r="I283" s="52" t="n"/>
      <c r="J283" s="51">
        <f>IFERROR(G283-H283,0)</f>
        <v/>
      </c>
      <c r="K283" s="52" t="n"/>
      <c r="L283" s="49">
        <f>IF(A283="","",IF(J283&lt;=0,"Paid",IF(AND(K283&lt;TODAY(),K283&lt;&gt;""),"Overdue","Open")))</f>
        <v/>
      </c>
      <c r="M283" s="49" t="n"/>
    </row>
    <row r="284">
      <c r="A284" s="52" t="n"/>
      <c r="B284" s="49" t="n"/>
      <c r="C284" s="49" t="n"/>
      <c r="D284" s="49" t="n"/>
      <c r="E284" s="49">
        <f>IFERROR(VLOOKUP(D284,'Stock Master'!$A$2:$L$49,2,FALSE),"")</f>
        <v/>
      </c>
      <c r="F284" s="49" t="n"/>
      <c r="G284" s="51">
        <f>IFERROR(VLOOKUP(D284,'Stock Master'!$A$2:$L$49,5,FALSE)*F284,0)</f>
        <v/>
      </c>
      <c r="H284" s="51" t="n"/>
      <c r="I284" s="52" t="n"/>
      <c r="J284" s="51">
        <f>IFERROR(G284-H284,0)</f>
        <v/>
      </c>
      <c r="K284" s="52" t="n"/>
      <c r="L284" s="49">
        <f>IF(A284="","",IF(J284&lt;=0,"Paid",IF(AND(K284&lt;TODAY(),K284&lt;&gt;""),"Overdue","Open")))</f>
        <v/>
      </c>
      <c r="M284" s="49" t="n"/>
    </row>
    <row r="285">
      <c r="A285" s="52" t="n"/>
      <c r="B285" s="49" t="n"/>
      <c r="C285" s="49" t="n"/>
      <c r="D285" s="49" t="n"/>
      <c r="E285" s="49">
        <f>IFERROR(VLOOKUP(D285,'Stock Master'!$A$2:$L$49,2,FALSE),"")</f>
        <v/>
      </c>
      <c r="F285" s="49" t="n"/>
      <c r="G285" s="51">
        <f>IFERROR(VLOOKUP(D285,'Stock Master'!$A$2:$L$49,5,FALSE)*F285,0)</f>
        <v/>
      </c>
      <c r="H285" s="51" t="n"/>
      <c r="I285" s="52" t="n"/>
      <c r="J285" s="51">
        <f>IFERROR(G285-H285,0)</f>
        <v/>
      </c>
      <c r="K285" s="52" t="n"/>
      <c r="L285" s="49">
        <f>IF(A285="","",IF(J285&lt;=0,"Paid",IF(AND(K285&lt;TODAY(),K285&lt;&gt;""),"Overdue","Open")))</f>
        <v/>
      </c>
      <c r="M285" s="49" t="n"/>
    </row>
    <row r="286">
      <c r="A286" s="52" t="n"/>
      <c r="B286" s="49" t="n"/>
      <c r="C286" s="49" t="n"/>
      <c r="D286" s="49" t="n"/>
      <c r="E286" s="49">
        <f>IFERROR(VLOOKUP(D286,'Stock Master'!$A$2:$L$49,2,FALSE),"")</f>
        <v/>
      </c>
      <c r="F286" s="49" t="n"/>
      <c r="G286" s="51">
        <f>IFERROR(VLOOKUP(D286,'Stock Master'!$A$2:$L$49,5,FALSE)*F286,0)</f>
        <v/>
      </c>
      <c r="H286" s="51" t="n"/>
      <c r="I286" s="52" t="n"/>
      <c r="J286" s="51">
        <f>IFERROR(G286-H286,0)</f>
        <v/>
      </c>
      <c r="K286" s="52" t="n"/>
      <c r="L286" s="49">
        <f>IF(A286="","",IF(J286&lt;=0,"Paid",IF(AND(K286&lt;TODAY(),K286&lt;&gt;""),"Overdue","Open")))</f>
        <v/>
      </c>
      <c r="M286" s="49" t="n"/>
    </row>
    <row r="287">
      <c r="A287" s="52" t="n"/>
      <c r="B287" s="49" t="n"/>
      <c r="C287" s="49" t="n"/>
      <c r="D287" s="49" t="n"/>
      <c r="E287" s="49">
        <f>IFERROR(VLOOKUP(D287,'Stock Master'!$A$2:$L$49,2,FALSE),"")</f>
        <v/>
      </c>
      <c r="F287" s="49" t="n"/>
      <c r="G287" s="51">
        <f>IFERROR(VLOOKUP(D287,'Stock Master'!$A$2:$L$49,5,FALSE)*F287,0)</f>
        <v/>
      </c>
      <c r="H287" s="51" t="n"/>
      <c r="I287" s="52" t="n"/>
      <c r="J287" s="51">
        <f>IFERROR(G287-H287,0)</f>
        <v/>
      </c>
      <c r="K287" s="52" t="n"/>
      <c r="L287" s="49">
        <f>IF(A287="","",IF(J287&lt;=0,"Paid",IF(AND(K287&lt;TODAY(),K287&lt;&gt;""),"Overdue","Open")))</f>
        <v/>
      </c>
      <c r="M287" s="49" t="n"/>
    </row>
    <row r="288">
      <c r="A288" s="52" t="n"/>
      <c r="B288" s="49" t="n"/>
      <c r="C288" s="49" t="n"/>
      <c r="D288" s="49" t="n"/>
      <c r="E288" s="49">
        <f>IFERROR(VLOOKUP(D288,'Stock Master'!$A$2:$L$49,2,FALSE),"")</f>
        <v/>
      </c>
      <c r="F288" s="49" t="n"/>
      <c r="G288" s="51">
        <f>IFERROR(VLOOKUP(D288,'Stock Master'!$A$2:$L$49,5,FALSE)*F288,0)</f>
        <v/>
      </c>
      <c r="H288" s="51" t="n"/>
      <c r="I288" s="52" t="n"/>
      <c r="J288" s="51">
        <f>IFERROR(G288-H288,0)</f>
        <v/>
      </c>
      <c r="K288" s="52" t="n"/>
      <c r="L288" s="49">
        <f>IF(A288="","",IF(J288&lt;=0,"Paid",IF(AND(K288&lt;TODAY(),K288&lt;&gt;""),"Overdue","Open")))</f>
        <v/>
      </c>
      <c r="M288" s="49" t="n"/>
    </row>
    <row r="289">
      <c r="A289" s="52" t="n"/>
      <c r="B289" s="49" t="n"/>
      <c r="C289" s="49" t="n"/>
      <c r="D289" s="49" t="n"/>
      <c r="E289" s="49">
        <f>IFERROR(VLOOKUP(D289,'Stock Master'!$A$2:$L$49,2,FALSE),"")</f>
        <v/>
      </c>
      <c r="F289" s="49" t="n"/>
      <c r="G289" s="51">
        <f>IFERROR(VLOOKUP(D289,'Stock Master'!$A$2:$L$49,5,FALSE)*F289,0)</f>
        <v/>
      </c>
      <c r="H289" s="51" t="n"/>
      <c r="I289" s="52" t="n"/>
      <c r="J289" s="51">
        <f>IFERROR(G289-H289,0)</f>
        <v/>
      </c>
      <c r="K289" s="52" t="n"/>
      <c r="L289" s="49">
        <f>IF(A289="","",IF(J289&lt;=0,"Paid",IF(AND(K289&lt;TODAY(),K289&lt;&gt;""),"Overdue","Open")))</f>
        <v/>
      </c>
      <c r="M289" s="49" t="n"/>
    </row>
    <row r="290">
      <c r="A290" s="52" t="n"/>
      <c r="B290" s="49" t="n"/>
      <c r="C290" s="49" t="n"/>
      <c r="D290" s="49" t="n"/>
      <c r="E290" s="49">
        <f>IFERROR(VLOOKUP(D290,'Stock Master'!$A$2:$L$49,2,FALSE),"")</f>
        <v/>
      </c>
      <c r="F290" s="49" t="n"/>
      <c r="G290" s="51">
        <f>IFERROR(VLOOKUP(D290,'Stock Master'!$A$2:$L$49,5,FALSE)*F290,0)</f>
        <v/>
      </c>
      <c r="H290" s="51" t="n"/>
      <c r="I290" s="52" t="n"/>
      <c r="J290" s="51">
        <f>IFERROR(G290-H290,0)</f>
        <v/>
      </c>
      <c r="K290" s="52" t="n"/>
      <c r="L290" s="49">
        <f>IF(A290="","",IF(J290&lt;=0,"Paid",IF(AND(K290&lt;TODAY(),K290&lt;&gt;""),"Overdue","Open")))</f>
        <v/>
      </c>
      <c r="M290" s="49" t="n"/>
    </row>
    <row r="291">
      <c r="A291" s="52" t="n"/>
      <c r="B291" s="49" t="n"/>
      <c r="C291" s="49" t="n"/>
      <c r="D291" s="49" t="n"/>
      <c r="E291" s="49">
        <f>IFERROR(VLOOKUP(D291,'Stock Master'!$A$2:$L$49,2,FALSE),"")</f>
        <v/>
      </c>
      <c r="F291" s="49" t="n"/>
      <c r="G291" s="51">
        <f>IFERROR(VLOOKUP(D291,'Stock Master'!$A$2:$L$49,5,FALSE)*F291,0)</f>
        <v/>
      </c>
      <c r="H291" s="51" t="n"/>
      <c r="I291" s="52" t="n"/>
      <c r="J291" s="51">
        <f>IFERROR(G291-H291,0)</f>
        <v/>
      </c>
      <c r="K291" s="52" t="n"/>
      <c r="L291" s="49">
        <f>IF(A291="","",IF(J291&lt;=0,"Paid",IF(AND(K291&lt;TODAY(),K291&lt;&gt;""),"Overdue","Open")))</f>
        <v/>
      </c>
      <c r="M291" s="49" t="n"/>
    </row>
    <row r="292">
      <c r="A292" s="52" t="n"/>
      <c r="B292" s="49" t="n"/>
      <c r="C292" s="49" t="n"/>
      <c r="D292" s="49" t="n"/>
      <c r="E292" s="49">
        <f>IFERROR(VLOOKUP(D292,'Stock Master'!$A$2:$L$49,2,FALSE),"")</f>
        <v/>
      </c>
      <c r="F292" s="49" t="n"/>
      <c r="G292" s="51">
        <f>IFERROR(VLOOKUP(D292,'Stock Master'!$A$2:$L$49,5,FALSE)*F292,0)</f>
        <v/>
      </c>
      <c r="H292" s="51" t="n"/>
      <c r="I292" s="52" t="n"/>
      <c r="J292" s="51">
        <f>IFERROR(G292-H292,0)</f>
        <v/>
      </c>
      <c r="K292" s="52" t="n"/>
      <c r="L292" s="49">
        <f>IF(A292="","",IF(J292&lt;=0,"Paid",IF(AND(K292&lt;TODAY(),K292&lt;&gt;""),"Overdue","Open")))</f>
        <v/>
      </c>
      <c r="M292" s="49" t="n"/>
    </row>
    <row r="293">
      <c r="A293" s="52" t="n"/>
      <c r="B293" s="49" t="n"/>
      <c r="C293" s="49" t="n"/>
      <c r="D293" s="49" t="n"/>
      <c r="E293" s="49">
        <f>IFERROR(VLOOKUP(D293,'Stock Master'!$A$2:$L$49,2,FALSE),"")</f>
        <v/>
      </c>
      <c r="F293" s="49" t="n"/>
      <c r="G293" s="51">
        <f>IFERROR(VLOOKUP(D293,'Stock Master'!$A$2:$L$49,5,FALSE)*F293,0)</f>
        <v/>
      </c>
      <c r="H293" s="51" t="n"/>
      <c r="I293" s="52" t="n"/>
      <c r="J293" s="51">
        <f>IFERROR(G293-H293,0)</f>
        <v/>
      </c>
      <c r="K293" s="52" t="n"/>
      <c r="L293" s="49">
        <f>IF(A293="","",IF(J293&lt;=0,"Paid",IF(AND(K293&lt;TODAY(),K293&lt;&gt;""),"Overdue","Open")))</f>
        <v/>
      </c>
      <c r="M293" s="49" t="n"/>
    </row>
    <row r="294">
      <c r="A294" s="52" t="n"/>
      <c r="B294" s="49" t="n"/>
      <c r="C294" s="49" t="n"/>
      <c r="D294" s="49" t="n"/>
      <c r="E294" s="49">
        <f>IFERROR(VLOOKUP(D294,'Stock Master'!$A$2:$L$49,2,FALSE),"")</f>
        <v/>
      </c>
      <c r="F294" s="49" t="n"/>
      <c r="G294" s="51">
        <f>IFERROR(VLOOKUP(D294,'Stock Master'!$A$2:$L$49,5,FALSE)*F294,0)</f>
        <v/>
      </c>
      <c r="H294" s="51" t="n"/>
      <c r="I294" s="52" t="n"/>
      <c r="J294" s="51">
        <f>IFERROR(G294-H294,0)</f>
        <v/>
      </c>
      <c r="K294" s="52" t="n"/>
      <c r="L294" s="49">
        <f>IF(A294="","",IF(J294&lt;=0,"Paid",IF(AND(K294&lt;TODAY(),K294&lt;&gt;""),"Overdue","Open")))</f>
        <v/>
      </c>
      <c r="M294" s="49" t="n"/>
    </row>
    <row r="295">
      <c r="A295" s="52" t="n"/>
      <c r="B295" s="49" t="n"/>
      <c r="C295" s="49" t="n"/>
      <c r="D295" s="49" t="n"/>
      <c r="E295" s="49">
        <f>IFERROR(VLOOKUP(D295,'Stock Master'!$A$2:$L$49,2,FALSE),"")</f>
        <v/>
      </c>
      <c r="F295" s="49" t="n"/>
      <c r="G295" s="51">
        <f>IFERROR(VLOOKUP(D295,'Stock Master'!$A$2:$L$49,5,FALSE)*F295,0)</f>
        <v/>
      </c>
      <c r="H295" s="51" t="n"/>
      <c r="I295" s="52" t="n"/>
      <c r="J295" s="51">
        <f>IFERROR(G295-H295,0)</f>
        <v/>
      </c>
      <c r="K295" s="52" t="n"/>
      <c r="L295" s="49">
        <f>IF(A295="","",IF(J295&lt;=0,"Paid",IF(AND(K295&lt;TODAY(),K295&lt;&gt;""),"Overdue","Open")))</f>
        <v/>
      </c>
      <c r="M295" s="49" t="n"/>
    </row>
    <row r="296">
      <c r="A296" s="52" t="n"/>
      <c r="B296" s="49" t="n"/>
      <c r="C296" s="49" t="n"/>
      <c r="D296" s="49" t="n"/>
      <c r="E296" s="49">
        <f>IFERROR(VLOOKUP(D296,'Stock Master'!$A$2:$L$49,2,FALSE),"")</f>
        <v/>
      </c>
      <c r="F296" s="49" t="n"/>
      <c r="G296" s="51">
        <f>IFERROR(VLOOKUP(D296,'Stock Master'!$A$2:$L$49,5,FALSE)*F296,0)</f>
        <v/>
      </c>
      <c r="H296" s="51" t="n"/>
      <c r="I296" s="52" t="n"/>
      <c r="J296" s="51">
        <f>IFERROR(G296-H296,0)</f>
        <v/>
      </c>
      <c r="K296" s="52" t="n"/>
      <c r="L296" s="49">
        <f>IF(A296="","",IF(J296&lt;=0,"Paid",IF(AND(K296&lt;TODAY(),K296&lt;&gt;""),"Overdue","Open")))</f>
        <v/>
      </c>
      <c r="M296" s="49" t="n"/>
    </row>
    <row r="297">
      <c r="A297" s="52" t="n"/>
      <c r="B297" s="49" t="n"/>
      <c r="C297" s="49" t="n"/>
      <c r="D297" s="49" t="n"/>
      <c r="E297" s="49">
        <f>IFERROR(VLOOKUP(D297,'Stock Master'!$A$2:$L$49,2,FALSE),"")</f>
        <v/>
      </c>
      <c r="F297" s="49" t="n"/>
      <c r="G297" s="51">
        <f>IFERROR(VLOOKUP(D297,'Stock Master'!$A$2:$L$49,5,FALSE)*F297,0)</f>
        <v/>
      </c>
      <c r="H297" s="51" t="n"/>
      <c r="I297" s="52" t="n"/>
      <c r="J297" s="51">
        <f>IFERROR(G297-H297,0)</f>
        <v/>
      </c>
      <c r="K297" s="52" t="n"/>
      <c r="L297" s="49">
        <f>IF(A297="","",IF(J297&lt;=0,"Paid",IF(AND(K297&lt;TODAY(),K297&lt;&gt;""),"Overdue","Open")))</f>
        <v/>
      </c>
      <c r="M297" s="49" t="n"/>
    </row>
    <row r="298">
      <c r="A298" s="52" t="n"/>
      <c r="B298" s="49" t="n"/>
      <c r="C298" s="49" t="n"/>
      <c r="D298" s="49" t="n"/>
      <c r="E298" s="49">
        <f>IFERROR(VLOOKUP(D298,'Stock Master'!$A$2:$L$49,2,FALSE),"")</f>
        <v/>
      </c>
      <c r="F298" s="49" t="n"/>
      <c r="G298" s="51">
        <f>IFERROR(VLOOKUP(D298,'Stock Master'!$A$2:$L$49,5,FALSE)*F298,0)</f>
        <v/>
      </c>
      <c r="H298" s="51" t="n"/>
      <c r="I298" s="52" t="n"/>
      <c r="J298" s="51">
        <f>IFERROR(G298-H298,0)</f>
        <v/>
      </c>
      <c r="K298" s="52" t="n"/>
      <c r="L298" s="49">
        <f>IF(A298="","",IF(J298&lt;=0,"Paid",IF(AND(K298&lt;TODAY(),K298&lt;&gt;""),"Overdue","Open")))</f>
        <v/>
      </c>
      <c r="M298" s="49" t="n"/>
    </row>
    <row r="299">
      <c r="A299" s="52" t="n"/>
      <c r="B299" s="49" t="n"/>
      <c r="C299" s="49" t="n"/>
      <c r="D299" s="49" t="n"/>
      <c r="E299" s="49">
        <f>IFERROR(VLOOKUP(D299,'Stock Master'!$A$2:$L$49,2,FALSE),"")</f>
        <v/>
      </c>
      <c r="F299" s="49" t="n"/>
      <c r="G299" s="51">
        <f>IFERROR(VLOOKUP(D299,'Stock Master'!$A$2:$L$49,5,FALSE)*F299,0)</f>
        <v/>
      </c>
      <c r="H299" s="51" t="n"/>
      <c r="I299" s="52" t="n"/>
      <c r="J299" s="51">
        <f>IFERROR(G299-H299,0)</f>
        <v/>
      </c>
      <c r="K299" s="52" t="n"/>
      <c r="L299" s="49">
        <f>IF(A299="","",IF(J299&lt;=0,"Paid",IF(AND(K299&lt;TODAY(),K299&lt;&gt;""),"Overdue","Open")))</f>
        <v/>
      </c>
      <c r="M299" s="49" t="n"/>
    </row>
    <row r="300">
      <c r="A300" s="52" t="n"/>
      <c r="B300" s="49" t="n"/>
      <c r="C300" s="49" t="n"/>
      <c r="D300" s="49" t="n"/>
      <c r="E300" s="49">
        <f>IFERROR(VLOOKUP(D300,'Stock Master'!$A$2:$L$49,2,FALSE),"")</f>
        <v/>
      </c>
      <c r="F300" s="49" t="n"/>
      <c r="G300" s="51">
        <f>IFERROR(VLOOKUP(D300,'Stock Master'!$A$2:$L$49,5,FALSE)*F300,0)</f>
        <v/>
      </c>
      <c r="H300" s="51" t="n"/>
      <c r="I300" s="52" t="n"/>
      <c r="J300" s="51">
        <f>IFERROR(G300-H300,0)</f>
        <v/>
      </c>
      <c r="K300" s="52" t="n"/>
      <c r="L300" s="49">
        <f>IF(A300="","",IF(J300&lt;=0,"Paid",IF(AND(K300&lt;TODAY(),K300&lt;&gt;""),"Overdue","Open")))</f>
        <v/>
      </c>
      <c r="M300" s="49" t="n"/>
    </row>
    <row r="301">
      <c r="A301" s="52" t="n"/>
      <c r="B301" s="49" t="n"/>
      <c r="C301" s="49" t="n"/>
      <c r="D301" s="49" t="n"/>
      <c r="E301" s="49">
        <f>IFERROR(VLOOKUP(D301,'Stock Master'!$A$2:$L$49,2,FALSE),"")</f>
        <v/>
      </c>
      <c r="F301" s="49" t="n"/>
      <c r="G301" s="51">
        <f>IFERROR(VLOOKUP(D301,'Stock Master'!$A$2:$L$49,5,FALSE)*F301,0)</f>
        <v/>
      </c>
      <c r="H301" s="51" t="n"/>
      <c r="I301" s="52" t="n"/>
      <c r="J301" s="51">
        <f>IFERROR(G301-H301,0)</f>
        <v/>
      </c>
      <c r="K301" s="52" t="n"/>
      <c r="L301" s="49">
        <f>IF(A301="","",IF(J301&lt;=0,"Paid",IF(AND(K301&lt;TODAY(),K301&lt;&gt;""),"Overdue","Open")))</f>
        <v/>
      </c>
      <c r="M301" s="49" t="n"/>
    </row>
    <row r="302">
      <c r="A302" s="52" t="n"/>
      <c r="B302" s="49" t="n"/>
      <c r="C302" s="49" t="n"/>
      <c r="D302" s="49" t="n"/>
      <c r="E302" s="49">
        <f>IFERROR(VLOOKUP(D302,'Stock Master'!$A$2:$L$49,2,FALSE),"")</f>
        <v/>
      </c>
      <c r="F302" s="49" t="n"/>
      <c r="G302" s="51">
        <f>IFERROR(VLOOKUP(D302,'Stock Master'!$A$2:$L$49,5,FALSE)*F302,0)</f>
        <v/>
      </c>
      <c r="H302" s="51" t="n"/>
      <c r="I302" s="52" t="n"/>
      <c r="J302" s="51">
        <f>IFERROR(G302-H302,0)</f>
        <v/>
      </c>
      <c r="K302" s="52" t="n"/>
      <c r="L302" s="49">
        <f>IF(A302="","",IF(J302&lt;=0,"Paid",IF(AND(K302&lt;TODAY(),K302&lt;&gt;""),"Overdue","Open")))</f>
        <v/>
      </c>
      <c r="M302" s="49" t="n"/>
    </row>
    <row r="303">
      <c r="A303" s="52" t="n"/>
      <c r="B303" s="49" t="n"/>
      <c r="C303" s="49" t="n"/>
      <c r="D303" s="49" t="n"/>
      <c r="E303" s="49">
        <f>IFERROR(VLOOKUP(D303,'Stock Master'!$A$2:$L$49,2,FALSE),"")</f>
        <v/>
      </c>
      <c r="F303" s="49" t="n"/>
      <c r="G303" s="51">
        <f>IFERROR(VLOOKUP(D303,'Stock Master'!$A$2:$L$49,5,FALSE)*F303,0)</f>
        <v/>
      </c>
      <c r="H303" s="51" t="n"/>
      <c r="I303" s="52" t="n"/>
      <c r="J303" s="51">
        <f>IFERROR(G303-H303,0)</f>
        <v/>
      </c>
      <c r="K303" s="52" t="n"/>
      <c r="L303" s="49">
        <f>IF(A303="","",IF(J303&lt;=0,"Paid",IF(AND(K303&lt;TODAY(),K303&lt;&gt;""),"Overdue","Open")))</f>
        <v/>
      </c>
      <c r="M303" s="49" t="n"/>
    </row>
    <row r="304">
      <c r="A304" s="52" t="n"/>
      <c r="B304" s="49" t="n"/>
      <c r="C304" s="49" t="n"/>
      <c r="D304" s="49" t="n"/>
      <c r="E304" s="49">
        <f>IFERROR(VLOOKUP(D304,'Stock Master'!$A$2:$L$49,2,FALSE),"")</f>
        <v/>
      </c>
      <c r="F304" s="49" t="n"/>
      <c r="G304" s="51">
        <f>IFERROR(VLOOKUP(D304,'Stock Master'!$A$2:$L$49,5,FALSE)*F304,0)</f>
        <v/>
      </c>
      <c r="H304" s="51" t="n"/>
      <c r="I304" s="52" t="n"/>
      <c r="J304" s="51">
        <f>IFERROR(G304-H304,0)</f>
        <v/>
      </c>
      <c r="K304" s="52" t="n"/>
      <c r="L304" s="49">
        <f>IF(A304="","",IF(J304&lt;=0,"Paid",IF(AND(K304&lt;TODAY(),K304&lt;&gt;""),"Overdue","Open")))</f>
        <v/>
      </c>
      <c r="M304" s="49" t="n"/>
    </row>
    <row r="305">
      <c r="A305" s="52" t="n"/>
      <c r="B305" s="49" t="n"/>
      <c r="C305" s="49" t="n"/>
      <c r="D305" s="49" t="n"/>
      <c r="E305" s="49">
        <f>IFERROR(VLOOKUP(D305,'Stock Master'!$A$2:$L$49,2,FALSE),"")</f>
        <v/>
      </c>
      <c r="F305" s="49" t="n"/>
      <c r="G305" s="51">
        <f>IFERROR(VLOOKUP(D305,'Stock Master'!$A$2:$L$49,5,FALSE)*F305,0)</f>
        <v/>
      </c>
      <c r="H305" s="51" t="n"/>
      <c r="I305" s="52" t="n"/>
      <c r="J305" s="51">
        <f>IFERROR(G305-H305,0)</f>
        <v/>
      </c>
      <c r="K305" s="52" t="n"/>
      <c r="L305" s="49">
        <f>IF(A305="","",IF(J305&lt;=0,"Paid",IF(AND(K305&lt;TODAY(),K305&lt;&gt;""),"Overdue","Open")))</f>
        <v/>
      </c>
      <c r="M305" s="49" t="n"/>
    </row>
    <row r="306">
      <c r="A306" s="52" t="n"/>
      <c r="B306" s="49" t="n"/>
      <c r="C306" s="49" t="n"/>
      <c r="D306" s="49" t="n"/>
      <c r="E306" s="49">
        <f>IFERROR(VLOOKUP(D306,'Stock Master'!$A$2:$L$49,2,FALSE),"")</f>
        <v/>
      </c>
      <c r="F306" s="49" t="n"/>
      <c r="G306" s="51">
        <f>IFERROR(VLOOKUP(D306,'Stock Master'!$A$2:$L$49,5,FALSE)*F306,0)</f>
        <v/>
      </c>
      <c r="H306" s="51" t="n"/>
      <c r="I306" s="52" t="n"/>
      <c r="J306" s="51">
        <f>IFERROR(G306-H306,0)</f>
        <v/>
      </c>
      <c r="K306" s="52" t="n"/>
      <c r="L306" s="49">
        <f>IF(A306="","",IF(J306&lt;=0,"Paid",IF(AND(K306&lt;TODAY(),K306&lt;&gt;""),"Overdue","Open")))</f>
        <v/>
      </c>
      <c r="M306" s="49" t="n"/>
    </row>
    <row r="307">
      <c r="A307" s="52" t="n"/>
      <c r="B307" s="49" t="n"/>
      <c r="C307" s="49" t="n"/>
      <c r="D307" s="49" t="n"/>
      <c r="E307" s="49">
        <f>IFERROR(VLOOKUP(D307,'Stock Master'!$A$2:$L$49,2,FALSE),"")</f>
        <v/>
      </c>
      <c r="F307" s="49" t="n"/>
      <c r="G307" s="51">
        <f>IFERROR(VLOOKUP(D307,'Stock Master'!$A$2:$L$49,5,FALSE)*F307,0)</f>
        <v/>
      </c>
      <c r="H307" s="51" t="n"/>
      <c r="I307" s="52" t="n"/>
      <c r="J307" s="51">
        <f>IFERROR(G307-H307,0)</f>
        <v/>
      </c>
      <c r="K307" s="52" t="n"/>
      <c r="L307" s="49">
        <f>IF(A307="","",IF(J307&lt;=0,"Paid",IF(AND(K307&lt;TODAY(),K307&lt;&gt;""),"Overdue","Open")))</f>
        <v/>
      </c>
      <c r="M307" s="49" t="n"/>
    </row>
    <row r="308">
      <c r="A308" s="52" t="n"/>
      <c r="B308" s="49" t="n"/>
      <c r="C308" s="49" t="n"/>
      <c r="D308" s="49" t="n"/>
      <c r="E308" s="49">
        <f>IFERROR(VLOOKUP(D308,'Stock Master'!$A$2:$L$49,2,FALSE),"")</f>
        <v/>
      </c>
      <c r="F308" s="49" t="n"/>
      <c r="G308" s="51">
        <f>IFERROR(VLOOKUP(D308,'Stock Master'!$A$2:$L$49,5,FALSE)*F308,0)</f>
        <v/>
      </c>
      <c r="H308" s="51" t="n"/>
      <c r="I308" s="52" t="n"/>
      <c r="J308" s="51">
        <f>IFERROR(G308-H308,0)</f>
        <v/>
      </c>
      <c r="K308" s="52" t="n"/>
      <c r="L308" s="49">
        <f>IF(A308="","",IF(J308&lt;=0,"Paid",IF(AND(K308&lt;TODAY(),K308&lt;&gt;""),"Overdue","Open")))</f>
        <v/>
      </c>
      <c r="M308" s="49" t="n"/>
    </row>
    <row r="309">
      <c r="A309" s="52" t="n"/>
      <c r="B309" s="49" t="n"/>
      <c r="C309" s="49" t="n"/>
      <c r="D309" s="49" t="n"/>
      <c r="E309" s="49">
        <f>IFERROR(VLOOKUP(D309,'Stock Master'!$A$2:$L$49,2,FALSE),"")</f>
        <v/>
      </c>
      <c r="F309" s="49" t="n"/>
      <c r="G309" s="51">
        <f>IFERROR(VLOOKUP(D309,'Stock Master'!$A$2:$L$49,5,FALSE)*F309,0)</f>
        <v/>
      </c>
      <c r="H309" s="51" t="n"/>
      <c r="I309" s="52" t="n"/>
      <c r="J309" s="51">
        <f>IFERROR(G309-H309,0)</f>
        <v/>
      </c>
      <c r="K309" s="52" t="n"/>
      <c r="L309" s="49">
        <f>IF(A309="","",IF(J309&lt;=0,"Paid",IF(AND(K309&lt;TODAY(),K309&lt;&gt;""),"Overdue","Open")))</f>
        <v/>
      </c>
      <c r="M309" s="49" t="n"/>
    </row>
    <row r="310">
      <c r="A310" s="52" t="n"/>
      <c r="B310" s="49" t="n"/>
      <c r="C310" s="49" t="n"/>
      <c r="D310" s="49" t="n"/>
      <c r="E310" s="49">
        <f>IFERROR(VLOOKUP(D310,'Stock Master'!$A$2:$L$49,2,FALSE),"")</f>
        <v/>
      </c>
      <c r="F310" s="49" t="n"/>
      <c r="G310" s="51">
        <f>IFERROR(VLOOKUP(D310,'Stock Master'!$A$2:$L$49,5,FALSE)*F310,0)</f>
        <v/>
      </c>
      <c r="H310" s="51" t="n"/>
      <c r="I310" s="52" t="n"/>
      <c r="J310" s="51">
        <f>IFERROR(G310-H310,0)</f>
        <v/>
      </c>
      <c r="K310" s="52" t="n"/>
      <c r="L310" s="49">
        <f>IF(A310="","",IF(J310&lt;=0,"Paid",IF(AND(K310&lt;TODAY(),K310&lt;&gt;""),"Overdue","Open")))</f>
        <v/>
      </c>
      <c r="M310" s="49" t="n"/>
    </row>
    <row r="311">
      <c r="A311" s="52" t="n"/>
      <c r="B311" s="49" t="n"/>
      <c r="C311" s="49" t="n"/>
      <c r="D311" s="49" t="n"/>
      <c r="E311" s="49">
        <f>IFERROR(VLOOKUP(D311,'Stock Master'!$A$2:$L$49,2,FALSE),"")</f>
        <v/>
      </c>
      <c r="F311" s="49" t="n"/>
      <c r="G311" s="51">
        <f>IFERROR(VLOOKUP(D311,'Stock Master'!$A$2:$L$49,5,FALSE)*F311,0)</f>
        <v/>
      </c>
      <c r="H311" s="51" t="n"/>
      <c r="I311" s="52" t="n"/>
      <c r="J311" s="51">
        <f>IFERROR(G311-H311,0)</f>
        <v/>
      </c>
      <c r="K311" s="52" t="n"/>
      <c r="L311" s="49">
        <f>IF(A311="","",IF(J311&lt;=0,"Paid",IF(AND(K311&lt;TODAY(),K311&lt;&gt;""),"Overdue","Open")))</f>
        <v/>
      </c>
      <c r="M311" s="49" t="n"/>
    </row>
    <row r="312">
      <c r="A312" s="52" t="n"/>
      <c r="B312" s="49" t="n"/>
      <c r="C312" s="49" t="n"/>
      <c r="D312" s="49" t="n"/>
      <c r="E312" s="49">
        <f>IFERROR(VLOOKUP(D312,'Stock Master'!$A$2:$L$49,2,FALSE),"")</f>
        <v/>
      </c>
      <c r="F312" s="49" t="n"/>
      <c r="G312" s="51">
        <f>IFERROR(VLOOKUP(D312,'Stock Master'!$A$2:$L$49,5,FALSE)*F312,0)</f>
        <v/>
      </c>
      <c r="H312" s="51" t="n"/>
      <c r="I312" s="52" t="n"/>
      <c r="J312" s="51">
        <f>IFERROR(G312-H312,0)</f>
        <v/>
      </c>
      <c r="K312" s="52" t="n"/>
      <c r="L312" s="49">
        <f>IF(A312="","",IF(J312&lt;=0,"Paid",IF(AND(K312&lt;TODAY(),K312&lt;&gt;""),"Overdue","Open")))</f>
        <v/>
      </c>
      <c r="M312" s="49" t="n"/>
    </row>
    <row r="313">
      <c r="A313" s="52" t="n"/>
      <c r="B313" s="49" t="n"/>
      <c r="C313" s="49" t="n"/>
      <c r="D313" s="49" t="n"/>
      <c r="E313" s="49">
        <f>IFERROR(VLOOKUP(D313,'Stock Master'!$A$2:$L$49,2,FALSE),"")</f>
        <v/>
      </c>
      <c r="F313" s="49" t="n"/>
      <c r="G313" s="51">
        <f>IFERROR(VLOOKUP(D313,'Stock Master'!$A$2:$L$49,5,FALSE)*F313,0)</f>
        <v/>
      </c>
      <c r="H313" s="51" t="n"/>
      <c r="I313" s="52" t="n"/>
      <c r="J313" s="51">
        <f>IFERROR(G313-H313,0)</f>
        <v/>
      </c>
      <c r="K313" s="52" t="n"/>
      <c r="L313" s="49">
        <f>IF(A313="","",IF(J313&lt;=0,"Paid",IF(AND(K313&lt;TODAY(),K313&lt;&gt;""),"Overdue","Open")))</f>
        <v/>
      </c>
      <c r="M313" s="49" t="n"/>
    </row>
    <row r="314">
      <c r="A314" s="52" t="n"/>
      <c r="B314" s="49" t="n"/>
      <c r="C314" s="49" t="n"/>
      <c r="D314" s="49" t="n"/>
      <c r="E314" s="49">
        <f>IFERROR(VLOOKUP(D314,'Stock Master'!$A$2:$L$49,2,FALSE),"")</f>
        <v/>
      </c>
      <c r="F314" s="49" t="n"/>
      <c r="G314" s="51">
        <f>IFERROR(VLOOKUP(D314,'Stock Master'!$A$2:$L$49,5,FALSE)*F314,0)</f>
        <v/>
      </c>
      <c r="H314" s="51" t="n"/>
      <c r="I314" s="52" t="n"/>
      <c r="J314" s="51">
        <f>IFERROR(G314-H314,0)</f>
        <v/>
      </c>
      <c r="K314" s="52" t="n"/>
      <c r="L314" s="49">
        <f>IF(A314="","",IF(J314&lt;=0,"Paid",IF(AND(K314&lt;TODAY(),K314&lt;&gt;""),"Overdue","Open")))</f>
        <v/>
      </c>
      <c r="M314" s="49" t="n"/>
    </row>
    <row r="315">
      <c r="A315" s="52" t="n"/>
      <c r="B315" s="49" t="n"/>
      <c r="C315" s="49" t="n"/>
      <c r="D315" s="49" t="n"/>
      <c r="E315" s="49">
        <f>IFERROR(VLOOKUP(D315,'Stock Master'!$A$2:$L$49,2,FALSE),"")</f>
        <v/>
      </c>
      <c r="F315" s="49" t="n"/>
      <c r="G315" s="51">
        <f>IFERROR(VLOOKUP(D315,'Stock Master'!$A$2:$L$49,5,FALSE)*F315,0)</f>
        <v/>
      </c>
      <c r="H315" s="51" t="n"/>
      <c r="I315" s="52" t="n"/>
      <c r="J315" s="51">
        <f>IFERROR(G315-H315,0)</f>
        <v/>
      </c>
      <c r="K315" s="52" t="n"/>
      <c r="L315" s="49">
        <f>IF(A315="","",IF(J315&lt;=0,"Paid",IF(AND(K315&lt;TODAY(),K315&lt;&gt;""),"Overdue","Open")))</f>
        <v/>
      </c>
      <c r="M315" s="49" t="n"/>
    </row>
    <row r="316">
      <c r="A316" s="52" t="n"/>
      <c r="B316" s="49" t="n"/>
      <c r="C316" s="49" t="n"/>
      <c r="D316" s="49" t="n"/>
      <c r="E316" s="49">
        <f>IFERROR(VLOOKUP(D316,'Stock Master'!$A$2:$L$49,2,FALSE),"")</f>
        <v/>
      </c>
      <c r="F316" s="49" t="n"/>
      <c r="G316" s="51">
        <f>IFERROR(VLOOKUP(D316,'Stock Master'!$A$2:$L$49,5,FALSE)*F316,0)</f>
        <v/>
      </c>
      <c r="H316" s="51" t="n"/>
      <c r="I316" s="52" t="n"/>
      <c r="J316" s="51">
        <f>IFERROR(G316-H316,0)</f>
        <v/>
      </c>
      <c r="K316" s="52" t="n"/>
      <c r="L316" s="49">
        <f>IF(A316="","",IF(J316&lt;=0,"Paid",IF(AND(K316&lt;TODAY(),K316&lt;&gt;""),"Overdue","Open")))</f>
        <v/>
      </c>
      <c r="M316" s="49" t="n"/>
    </row>
    <row r="317">
      <c r="A317" s="52" t="n"/>
      <c r="B317" s="49" t="n"/>
      <c r="C317" s="49" t="n"/>
      <c r="D317" s="49" t="n"/>
      <c r="E317" s="49">
        <f>IFERROR(VLOOKUP(D317,'Stock Master'!$A$2:$L$49,2,FALSE),"")</f>
        <v/>
      </c>
      <c r="F317" s="49" t="n"/>
      <c r="G317" s="51">
        <f>IFERROR(VLOOKUP(D317,'Stock Master'!$A$2:$L$49,5,FALSE)*F317,0)</f>
        <v/>
      </c>
      <c r="H317" s="51" t="n"/>
      <c r="I317" s="52" t="n"/>
      <c r="J317" s="51">
        <f>IFERROR(G317-H317,0)</f>
        <v/>
      </c>
      <c r="K317" s="52" t="n"/>
      <c r="L317" s="49">
        <f>IF(A317="","",IF(J317&lt;=0,"Paid",IF(AND(K317&lt;TODAY(),K317&lt;&gt;""),"Overdue","Open")))</f>
        <v/>
      </c>
      <c r="M317" s="49" t="n"/>
    </row>
    <row r="318">
      <c r="A318" s="52" t="n"/>
      <c r="B318" s="49" t="n"/>
      <c r="C318" s="49" t="n"/>
      <c r="D318" s="49" t="n"/>
      <c r="E318" s="49">
        <f>IFERROR(VLOOKUP(D318,'Stock Master'!$A$2:$L$49,2,FALSE),"")</f>
        <v/>
      </c>
      <c r="F318" s="49" t="n"/>
      <c r="G318" s="51">
        <f>IFERROR(VLOOKUP(D318,'Stock Master'!$A$2:$L$49,5,FALSE)*F318,0)</f>
        <v/>
      </c>
      <c r="H318" s="51" t="n"/>
      <c r="I318" s="52" t="n"/>
      <c r="J318" s="51">
        <f>IFERROR(G318-H318,0)</f>
        <v/>
      </c>
      <c r="K318" s="52" t="n"/>
      <c r="L318" s="49">
        <f>IF(A318="","",IF(J318&lt;=0,"Paid",IF(AND(K318&lt;TODAY(),K318&lt;&gt;""),"Overdue","Open")))</f>
        <v/>
      </c>
      <c r="M318" s="49" t="n"/>
    </row>
    <row r="319">
      <c r="A319" s="52" t="n"/>
      <c r="B319" s="49" t="n"/>
      <c r="C319" s="49" t="n"/>
      <c r="D319" s="49" t="n"/>
      <c r="E319" s="49">
        <f>IFERROR(VLOOKUP(D319,'Stock Master'!$A$2:$L$49,2,FALSE),"")</f>
        <v/>
      </c>
      <c r="F319" s="49" t="n"/>
      <c r="G319" s="51">
        <f>IFERROR(VLOOKUP(D319,'Stock Master'!$A$2:$L$49,5,FALSE)*F319,0)</f>
        <v/>
      </c>
      <c r="H319" s="51" t="n"/>
      <c r="I319" s="52" t="n"/>
      <c r="J319" s="51">
        <f>IFERROR(G319-H319,0)</f>
        <v/>
      </c>
      <c r="K319" s="52" t="n"/>
      <c r="L319" s="49">
        <f>IF(A319="","",IF(J319&lt;=0,"Paid",IF(AND(K319&lt;TODAY(),K319&lt;&gt;""),"Overdue","Open")))</f>
        <v/>
      </c>
      <c r="M319" s="49" t="n"/>
    </row>
    <row r="320">
      <c r="A320" s="52" t="n"/>
      <c r="B320" s="49" t="n"/>
      <c r="C320" s="49" t="n"/>
      <c r="D320" s="49" t="n"/>
      <c r="E320" s="49">
        <f>IFERROR(VLOOKUP(D320,'Stock Master'!$A$2:$L$49,2,FALSE),"")</f>
        <v/>
      </c>
      <c r="F320" s="49" t="n"/>
      <c r="G320" s="51">
        <f>IFERROR(VLOOKUP(D320,'Stock Master'!$A$2:$L$49,5,FALSE)*F320,0)</f>
        <v/>
      </c>
      <c r="H320" s="51" t="n"/>
      <c r="I320" s="52" t="n"/>
      <c r="J320" s="51">
        <f>IFERROR(G320-H320,0)</f>
        <v/>
      </c>
      <c r="K320" s="52" t="n"/>
      <c r="L320" s="49">
        <f>IF(A320="","",IF(J320&lt;=0,"Paid",IF(AND(K320&lt;TODAY(),K320&lt;&gt;""),"Overdue","Open")))</f>
        <v/>
      </c>
      <c r="M320" s="49" t="n"/>
    </row>
    <row r="321">
      <c r="A321" s="52" t="n"/>
      <c r="B321" s="49" t="n"/>
      <c r="C321" s="49" t="n"/>
      <c r="D321" s="49" t="n"/>
      <c r="E321" s="49">
        <f>IFERROR(VLOOKUP(D321,'Stock Master'!$A$2:$L$49,2,FALSE),"")</f>
        <v/>
      </c>
      <c r="F321" s="49" t="n"/>
      <c r="G321" s="51">
        <f>IFERROR(VLOOKUP(D321,'Stock Master'!$A$2:$L$49,5,FALSE)*F321,0)</f>
        <v/>
      </c>
      <c r="H321" s="51" t="n"/>
      <c r="I321" s="52" t="n"/>
      <c r="J321" s="51">
        <f>IFERROR(G321-H321,0)</f>
        <v/>
      </c>
      <c r="K321" s="52" t="n"/>
      <c r="L321" s="49">
        <f>IF(A321="","",IF(J321&lt;=0,"Paid",IF(AND(K321&lt;TODAY(),K321&lt;&gt;""),"Overdue","Open")))</f>
        <v/>
      </c>
      <c r="M321" s="49" t="n"/>
    </row>
    <row r="322">
      <c r="A322" s="52" t="n"/>
      <c r="B322" s="49" t="n"/>
      <c r="C322" s="49" t="n"/>
      <c r="D322" s="49" t="n"/>
      <c r="E322" s="49">
        <f>IFERROR(VLOOKUP(D322,'Stock Master'!$A$2:$L$49,2,FALSE),"")</f>
        <v/>
      </c>
      <c r="F322" s="49" t="n"/>
      <c r="G322" s="51">
        <f>IFERROR(VLOOKUP(D322,'Stock Master'!$A$2:$L$49,5,FALSE)*F322,0)</f>
        <v/>
      </c>
      <c r="H322" s="51" t="n"/>
      <c r="I322" s="52" t="n"/>
      <c r="J322" s="51">
        <f>IFERROR(G322-H322,0)</f>
        <v/>
      </c>
      <c r="K322" s="52" t="n"/>
      <c r="L322" s="49">
        <f>IF(A322="","",IF(J322&lt;=0,"Paid",IF(AND(K322&lt;TODAY(),K322&lt;&gt;""),"Overdue","Open")))</f>
        <v/>
      </c>
      <c r="M322" s="49" t="n"/>
    </row>
    <row r="323">
      <c r="A323" s="52" t="n"/>
      <c r="B323" s="49" t="n"/>
      <c r="C323" s="49" t="n"/>
      <c r="D323" s="49" t="n"/>
      <c r="E323" s="49">
        <f>IFERROR(VLOOKUP(D323,'Stock Master'!$A$2:$L$49,2,FALSE),"")</f>
        <v/>
      </c>
      <c r="F323" s="49" t="n"/>
      <c r="G323" s="51">
        <f>IFERROR(VLOOKUP(D323,'Stock Master'!$A$2:$L$49,5,FALSE)*F323,0)</f>
        <v/>
      </c>
      <c r="H323" s="51" t="n"/>
      <c r="I323" s="52" t="n"/>
      <c r="J323" s="51">
        <f>IFERROR(G323-H323,0)</f>
        <v/>
      </c>
      <c r="K323" s="52" t="n"/>
      <c r="L323" s="49">
        <f>IF(A323="","",IF(J323&lt;=0,"Paid",IF(AND(K323&lt;TODAY(),K323&lt;&gt;""),"Overdue","Open")))</f>
        <v/>
      </c>
      <c r="M323" s="49" t="n"/>
    </row>
    <row r="324">
      <c r="A324" s="52" t="n"/>
      <c r="B324" s="49" t="n"/>
      <c r="C324" s="49" t="n"/>
      <c r="D324" s="49" t="n"/>
      <c r="E324" s="49">
        <f>IFERROR(VLOOKUP(D324,'Stock Master'!$A$2:$L$49,2,FALSE),"")</f>
        <v/>
      </c>
      <c r="F324" s="49" t="n"/>
      <c r="G324" s="51">
        <f>IFERROR(VLOOKUP(D324,'Stock Master'!$A$2:$L$49,5,FALSE)*F324,0)</f>
        <v/>
      </c>
      <c r="H324" s="51" t="n"/>
      <c r="I324" s="52" t="n"/>
      <c r="J324" s="51">
        <f>IFERROR(G324-H324,0)</f>
        <v/>
      </c>
      <c r="K324" s="52" t="n"/>
      <c r="L324" s="49">
        <f>IF(A324="","",IF(J324&lt;=0,"Paid",IF(AND(K324&lt;TODAY(),K324&lt;&gt;""),"Overdue","Open")))</f>
        <v/>
      </c>
      <c r="M324" s="49" t="n"/>
    </row>
    <row r="325">
      <c r="A325" s="52" t="n"/>
      <c r="B325" s="49" t="n"/>
      <c r="C325" s="49" t="n"/>
      <c r="D325" s="49" t="n"/>
      <c r="E325" s="49">
        <f>IFERROR(VLOOKUP(D325,'Stock Master'!$A$2:$L$49,2,FALSE),"")</f>
        <v/>
      </c>
      <c r="F325" s="49" t="n"/>
      <c r="G325" s="51">
        <f>IFERROR(VLOOKUP(D325,'Stock Master'!$A$2:$L$49,5,FALSE)*F325,0)</f>
        <v/>
      </c>
      <c r="H325" s="51" t="n"/>
      <c r="I325" s="52" t="n"/>
      <c r="J325" s="51">
        <f>IFERROR(G325-H325,0)</f>
        <v/>
      </c>
      <c r="K325" s="52" t="n"/>
      <c r="L325" s="49">
        <f>IF(A325="","",IF(J325&lt;=0,"Paid",IF(AND(K325&lt;TODAY(),K325&lt;&gt;""),"Overdue","Open")))</f>
        <v/>
      </c>
      <c r="M325" s="49" t="n"/>
    </row>
    <row r="326">
      <c r="A326" s="52" t="n"/>
      <c r="B326" s="49" t="n"/>
      <c r="C326" s="49" t="n"/>
      <c r="D326" s="49" t="n"/>
      <c r="E326" s="49">
        <f>IFERROR(VLOOKUP(D326,'Stock Master'!$A$2:$L$49,2,FALSE),"")</f>
        <v/>
      </c>
      <c r="F326" s="49" t="n"/>
      <c r="G326" s="51">
        <f>IFERROR(VLOOKUP(D326,'Stock Master'!$A$2:$L$49,5,FALSE)*F326,0)</f>
        <v/>
      </c>
      <c r="H326" s="51" t="n"/>
      <c r="I326" s="52" t="n"/>
      <c r="J326" s="51">
        <f>IFERROR(G326-H326,0)</f>
        <v/>
      </c>
      <c r="K326" s="52" t="n"/>
      <c r="L326" s="49">
        <f>IF(A326="","",IF(J326&lt;=0,"Paid",IF(AND(K326&lt;TODAY(),K326&lt;&gt;""),"Overdue","Open")))</f>
        <v/>
      </c>
      <c r="M326" s="49" t="n"/>
    </row>
    <row r="327">
      <c r="A327" s="52" t="n"/>
      <c r="B327" s="49" t="n"/>
      <c r="C327" s="49" t="n"/>
      <c r="D327" s="49" t="n"/>
      <c r="E327" s="49">
        <f>IFERROR(VLOOKUP(D327,'Stock Master'!$A$2:$L$49,2,FALSE),"")</f>
        <v/>
      </c>
      <c r="F327" s="49" t="n"/>
      <c r="G327" s="51">
        <f>IFERROR(VLOOKUP(D327,'Stock Master'!$A$2:$L$49,5,FALSE)*F327,0)</f>
        <v/>
      </c>
      <c r="H327" s="51" t="n"/>
      <c r="I327" s="52" t="n"/>
      <c r="J327" s="51">
        <f>IFERROR(G327-H327,0)</f>
        <v/>
      </c>
      <c r="K327" s="52" t="n"/>
      <c r="L327" s="49">
        <f>IF(A327="","",IF(J327&lt;=0,"Paid",IF(AND(K327&lt;TODAY(),K327&lt;&gt;""),"Overdue","Open")))</f>
        <v/>
      </c>
      <c r="M327" s="49" t="n"/>
    </row>
    <row r="328">
      <c r="A328" s="52" t="n"/>
      <c r="B328" s="49" t="n"/>
      <c r="C328" s="49" t="n"/>
      <c r="D328" s="49" t="n"/>
      <c r="E328" s="49">
        <f>IFERROR(VLOOKUP(D328,'Stock Master'!$A$2:$L$49,2,FALSE),"")</f>
        <v/>
      </c>
      <c r="F328" s="49" t="n"/>
      <c r="G328" s="51">
        <f>IFERROR(VLOOKUP(D328,'Stock Master'!$A$2:$L$49,5,FALSE)*F328,0)</f>
        <v/>
      </c>
      <c r="H328" s="51" t="n"/>
      <c r="I328" s="52" t="n"/>
      <c r="J328" s="51">
        <f>IFERROR(G328-H328,0)</f>
        <v/>
      </c>
      <c r="K328" s="52" t="n"/>
      <c r="L328" s="49">
        <f>IF(A328="","",IF(J328&lt;=0,"Paid",IF(AND(K328&lt;TODAY(),K328&lt;&gt;""),"Overdue","Open")))</f>
        <v/>
      </c>
      <c r="M328" s="49" t="n"/>
    </row>
    <row r="329">
      <c r="A329" s="52" t="n"/>
      <c r="B329" s="49" t="n"/>
      <c r="C329" s="49" t="n"/>
      <c r="D329" s="49" t="n"/>
      <c r="E329" s="49">
        <f>IFERROR(VLOOKUP(D329,'Stock Master'!$A$2:$L$49,2,FALSE),"")</f>
        <v/>
      </c>
      <c r="F329" s="49" t="n"/>
      <c r="G329" s="51">
        <f>IFERROR(VLOOKUP(D329,'Stock Master'!$A$2:$L$49,5,FALSE)*F329,0)</f>
        <v/>
      </c>
      <c r="H329" s="51" t="n"/>
      <c r="I329" s="52" t="n"/>
      <c r="J329" s="51">
        <f>IFERROR(G329-H329,0)</f>
        <v/>
      </c>
      <c r="K329" s="52" t="n"/>
      <c r="L329" s="49">
        <f>IF(A329="","",IF(J329&lt;=0,"Paid",IF(AND(K329&lt;TODAY(),K329&lt;&gt;""),"Overdue","Open")))</f>
        <v/>
      </c>
      <c r="M329" s="49" t="n"/>
    </row>
    <row r="330">
      <c r="A330" s="52" t="n"/>
      <c r="B330" s="49" t="n"/>
      <c r="C330" s="49" t="n"/>
      <c r="D330" s="49" t="n"/>
      <c r="E330" s="49">
        <f>IFERROR(VLOOKUP(D330,'Stock Master'!$A$2:$L$49,2,FALSE),"")</f>
        <v/>
      </c>
      <c r="F330" s="49" t="n"/>
      <c r="G330" s="51">
        <f>IFERROR(VLOOKUP(D330,'Stock Master'!$A$2:$L$49,5,FALSE)*F330,0)</f>
        <v/>
      </c>
      <c r="H330" s="51" t="n"/>
      <c r="I330" s="52" t="n"/>
      <c r="J330" s="51">
        <f>IFERROR(G330-H330,0)</f>
        <v/>
      </c>
      <c r="K330" s="52" t="n"/>
      <c r="L330" s="49">
        <f>IF(A330="","",IF(J330&lt;=0,"Paid",IF(AND(K330&lt;TODAY(),K330&lt;&gt;""),"Overdue","Open")))</f>
        <v/>
      </c>
      <c r="M330" s="49" t="n"/>
    </row>
    <row r="331">
      <c r="A331" s="52" t="n"/>
      <c r="B331" s="49" t="n"/>
      <c r="C331" s="49" t="n"/>
      <c r="D331" s="49" t="n"/>
      <c r="E331" s="49">
        <f>IFERROR(VLOOKUP(D331,'Stock Master'!$A$2:$L$49,2,FALSE),"")</f>
        <v/>
      </c>
      <c r="F331" s="49" t="n"/>
      <c r="G331" s="51">
        <f>IFERROR(VLOOKUP(D331,'Stock Master'!$A$2:$L$49,5,FALSE)*F331,0)</f>
        <v/>
      </c>
      <c r="H331" s="51" t="n"/>
      <c r="I331" s="52" t="n"/>
      <c r="J331" s="51">
        <f>IFERROR(G331-H331,0)</f>
        <v/>
      </c>
      <c r="K331" s="52" t="n"/>
      <c r="L331" s="49">
        <f>IF(A331="","",IF(J331&lt;=0,"Paid",IF(AND(K331&lt;TODAY(),K331&lt;&gt;""),"Overdue","Open")))</f>
        <v/>
      </c>
      <c r="M331" s="49" t="n"/>
    </row>
    <row r="332">
      <c r="A332" s="52" t="n"/>
      <c r="B332" s="49" t="n"/>
      <c r="C332" s="49" t="n"/>
      <c r="D332" s="49" t="n"/>
      <c r="E332" s="49">
        <f>IFERROR(VLOOKUP(D332,'Stock Master'!$A$2:$L$49,2,FALSE),"")</f>
        <v/>
      </c>
      <c r="F332" s="49" t="n"/>
      <c r="G332" s="51">
        <f>IFERROR(VLOOKUP(D332,'Stock Master'!$A$2:$L$49,5,FALSE)*F332,0)</f>
        <v/>
      </c>
      <c r="H332" s="51" t="n"/>
      <c r="I332" s="52" t="n"/>
      <c r="J332" s="51">
        <f>IFERROR(G332-H332,0)</f>
        <v/>
      </c>
      <c r="K332" s="52" t="n"/>
      <c r="L332" s="49">
        <f>IF(A332="","",IF(J332&lt;=0,"Paid",IF(AND(K332&lt;TODAY(),K332&lt;&gt;""),"Overdue","Open")))</f>
        <v/>
      </c>
      <c r="M332" s="49" t="n"/>
    </row>
    <row r="333">
      <c r="A333" s="52" t="n"/>
      <c r="B333" s="49" t="n"/>
      <c r="C333" s="49" t="n"/>
      <c r="D333" s="49" t="n"/>
      <c r="E333" s="49">
        <f>IFERROR(VLOOKUP(D333,'Stock Master'!$A$2:$L$49,2,FALSE),"")</f>
        <v/>
      </c>
      <c r="F333" s="49" t="n"/>
      <c r="G333" s="51">
        <f>IFERROR(VLOOKUP(D333,'Stock Master'!$A$2:$L$49,5,FALSE)*F333,0)</f>
        <v/>
      </c>
      <c r="H333" s="51" t="n"/>
      <c r="I333" s="52" t="n"/>
      <c r="J333" s="51">
        <f>IFERROR(G333-H333,0)</f>
        <v/>
      </c>
      <c r="K333" s="52" t="n"/>
      <c r="L333" s="49">
        <f>IF(A333="","",IF(J333&lt;=0,"Paid",IF(AND(K333&lt;TODAY(),K333&lt;&gt;""),"Overdue","Open")))</f>
        <v/>
      </c>
      <c r="M333" s="49" t="n"/>
    </row>
    <row r="334">
      <c r="A334" s="52" t="n"/>
      <c r="B334" s="49" t="n"/>
      <c r="C334" s="49" t="n"/>
      <c r="D334" s="49" t="n"/>
      <c r="E334" s="49">
        <f>IFERROR(VLOOKUP(D334,'Stock Master'!$A$2:$L$49,2,FALSE),"")</f>
        <v/>
      </c>
      <c r="F334" s="49" t="n"/>
      <c r="G334" s="51">
        <f>IFERROR(VLOOKUP(D334,'Stock Master'!$A$2:$L$49,5,FALSE)*F334,0)</f>
        <v/>
      </c>
      <c r="H334" s="51" t="n"/>
      <c r="I334" s="52" t="n"/>
      <c r="J334" s="51">
        <f>IFERROR(G334-H334,0)</f>
        <v/>
      </c>
      <c r="K334" s="52" t="n"/>
      <c r="L334" s="49">
        <f>IF(A334="","",IF(J334&lt;=0,"Paid",IF(AND(K334&lt;TODAY(),K334&lt;&gt;""),"Overdue","Open")))</f>
        <v/>
      </c>
      <c r="M334" s="49" t="n"/>
    </row>
    <row r="335">
      <c r="A335" s="52" t="n"/>
      <c r="B335" s="49" t="n"/>
      <c r="C335" s="49" t="n"/>
      <c r="D335" s="49" t="n"/>
      <c r="E335" s="49">
        <f>IFERROR(VLOOKUP(D335,'Stock Master'!$A$2:$L$49,2,FALSE),"")</f>
        <v/>
      </c>
      <c r="F335" s="49" t="n"/>
      <c r="G335" s="51">
        <f>IFERROR(VLOOKUP(D335,'Stock Master'!$A$2:$L$49,5,FALSE)*F335,0)</f>
        <v/>
      </c>
      <c r="H335" s="51" t="n"/>
      <c r="I335" s="52" t="n"/>
      <c r="J335" s="51">
        <f>IFERROR(G335-H335,0)</f>
        <v/>
      </c>
      <c r="K335" s="52" t="n"/>
      <c r="L335" s="49">
        <f>IF(A335="","",IF(J335&lt;=0,"Paid",IF(AND(K335&lt;TODAY(),K335&lt;&gt;""),"Overdue","Open")))</f>
        <v/>
      </c>
      <c r="M335" s="49" t="n"/>
    </row>
    <row r="336">
      <c r="A336" s="52" t="n"/>
      <c r="B336" s="49" t="n"/>
      <c r="C336" s="49" t="n"/>
      <c r="D336" s="49" t="n"/>
      <c r="E336" s="49">
        <f>IFERROR(VLOOKUP(D336,'Stock Master'!$A$2:$L$49,2,FALSE),"")</f>
        <v/>
      </c>
      <c r="F336" s="49" t="n"/>
      <c r="G336" s="51">
        <f>IFERROR(VLOOKUP(D336,'Stock Master'!$A$2:$L$49,5,FALSE)*F336,0)</f>
        <v/>
      </c>
      <c r="H336" s="51" t="n"/>
      <c r="I336" s="52" t="n"/>
      <c r="J336" s="51">
        <f>IFERROR(G336-H336,0)</f>
        <v/>
      </c>
      <c r="K336" s="52" t="n"/>
      <c r="L336" s="49">
        <f>IF(A336="","",IF(J336&lt;=0,"Paid",IF(AND(K336&lt;TODAY(),K336&lt;&gt;""),"Overdue","Open")))</f>
        <v/>
      </c>
      <c r="M336" s="49" t="n"/>
    </row>
    <row r="337">
      <c r="A337" s="52" t="n"/>
      <c r="B337" s="49" t="n"/>
      <c r="C337" s="49" t="n"/>
      <c r="D337" s="49" t="n"/>
      <c r="E337" s="49">
        <f>IFERROR(VLOOKUP(D337,'Stock Master'!$A$2:$L$49,2,FALSE),"")</f>
        <v/>
      </c>
      <c r="F337" s="49" t="n"/>
      <c r="G337" s="51">
        <f>IFERROR(VLOOKUP(D337,'Stock Master'!$A$2:$L$49,5,FALSE)*F337,0)</f>
        <v/>
      </c>
      <c r="H337" s="51" t="n"/>
      <c r="I337" s="52" t="n"/>
      <c r="J337" s="51">
        <f>IFERROR(G337-H337,0)</f>
        <v/>
      </c>
      <c r="K337" s="52" t="n"/>
      <c r="L337" s="49">
        <f>IF(A337="","",IF(J337&lt;=0,"Paid",IF(AND(K337&lt;TODAY(),K337&lt;&gt;""),"Overdue","Open")))</f>
        <v/>
      </c>
      <c r="M337" s="49" t="n"/>
    </row>
    <row r="338">
      <c r="A338" s="52" t="n"/>
      <c r="B338" s="49" t="n"/>
      <c r="C338" s="49" t="n"/>
      <c r="D338" s="49" t="n"/>
      <c r="E338" s="49">
        <f>IFERROR(VLOOKUP(D338,'Stock Master'!$A$2:$L$49,2,FALSE),"")</f>
        <v/>
      </c>
      <c r="F338" s="49" t="n"/>
      <c r="G338" s="51">
        <f>IFERROR(VLOOKUP(D338,'Stock Master'!$A$2:$L$49,5,FALSE)*F338,0)</f>
        <v/>
      </c>
      <c r="H338" s="51" t="n"/>
      <c r="I338" s="52" t="n"/>
      <c r="J338" s="51">
        <f>IFERROR(G338-H338,0)</f>
        <v/>
      </c>
      <c r="K338" s="52" t="n"/>
      <c r="L338" s="49">
        <f>IF(A338="","",IF(J338&lt;=0,"Paid",IF(AND(K338&lt;TODAY(),K338&lt;&gt;""),"Overdue","Open")))</f>
        <v/>
      </c>
      <c r="M338" s="49" t="n"/>
    </row>
    <row r="339">
      <c r="A339" s="52" t="n"/>
      <c r="B339" s="49" t="n"/>
      <c r="C339" s="49" t="n"/>
      <c r="D339" s="49" t="n"/>
      <c r="E339" s="49">
        <f>IFERROR(VLOOKUP(D339,'Stock Master'!$A$2:$L$49,2,FALSE),"")</f>
        <v/>
      </c>
      <c r="F339" s="49" t="n"/>
      <c r="G339" s="51">
        <f>IFERROR(VLOOKUP(D339,'Stock Master'!$A$2:$L$49,5,FALSE)*F339,0)</f>
        <v/>
      </c>
      <c r="H339" s="51" t="n"/>
      <c r="I339" s="52" t="n"/>
      <c r="J339" s="51">
        <f>IFERROR(G339-H339,0)</f>
        <v/>
      </c>
      <c r="K339" s="52" t="n"/>
      <c r="L339" s="49">
        <f>IF(A339="","",IF(J339&lt;=0,"Paid",IF(AND(K339&lt;TODAY(),K339&lt;&gt;""),"Overdue","Open")))</f>
        <v/>
      </c>
      <c r="M339" s="49" t="n"/>
    </row>
    <row r="340">
      <c r="A340" s="52" t="n"/>
      <c r="B340" s="49" t="n"/>
      <c r="C340" s="49" t="n"/>
      <c r="D340" s="49" t="n"/>
      <c r="E340" s="49">
        <f>IFERROR(VLOOKUP(D340,'Stock Master'!$A$2:$L$49,2,FALSE),"")</f>
        <v/>
      </c>
      <c r="F340" s="49" t="n"/>
      <c r="G340" s="51">
        <f>IFERROR(VLOOKUP(D340,'Stock Master'!$A$2:$L$49,5,FALSE)*F340,0)</f>
        <v/>
      </c>
      <c r="H340" s="51" t="n"/>
      <c r="I340" s="52" t="n"/>
      <c r="J340" s="51">
        <f>IFERROR(G340-H340,0)</f>
        <v/>
      </c>
      <c r="K340" s="52" t="n"/>
      <c r="L340" s="49">
        <f>IF(A340="","",IF(J340&lt;=0,"Paid",IF(AND(K340&lt;TODAY(),K340&lt;&gt;""),"Overdue","Open")))</f>
        <v/>
      </c>
      <c r="M340" s="49" t="n"/>
    </row>
    <row r="341">
      <c r="A341" s="52" t="n"/>
      <c r="B341" s="49" t="n"/>
      <c r="C341" s="49" t="n"/>
      <c r="D341" s="49" t="n"/>
      <c r="E341" s="49">
        <f>IFERROR(VLOOKUP(D341,'Stock Master'!$A$2:$L$49,2,FALSE),"")</f>
        <v/>
      </c>
      <c r="F341" s="49" t="n"/>
      <c r="G341" s="51">
        <f>IFERROR(VLOOKUP(D341,'Stock Master'!$A$2:$L$49,5,FALSE)*F341,0)</f>
        <v/>
      </c>
      <c r="H341" s="51" t="n"/>
      <c r="I341" s="52" t="n"/>
      <c r="J341" s="51">
        <f>IFERROR(G341-H341,0)</f>
        <v/>
      </c>
      <c r="K341" s="52" t="n"/>
      <c r="L341" s="49">
        <f>IF(A341="","",IF(J341&lt;=0,"Paid",IF(AND(K341&lt;TODAY(),K341&lt;&gt;""),"Overdue","Open")))</f>
        <v/>
      </c>
      <c r="M341" s="49" t="n"/>
    </row>
    <row r="342">
      <c r="A342" s="52" t="n"/>
      <c r="B342" s="49" t="n"/>
      <c r="C342" s="49" t="n"/>
      <c r="D342" s="49" t="n"/>
      <c r="E342" s="49">
        <f>IFERROR(VLOOKUP(D342,'Stock Master'!$A$2:$L$49,2,FALSE),"")</f>
        <v/>
      </c>
      <c r="F342" s="49" t="n"/>
      <c r="G342" s="51">
        <f>IFERROR(VLOOKUP(D342,'Stock Master'!$A$2:$L$49,5,FALSE)*F342,0)</f>
        <v/>
      </c>
      <c r="H342" s="51" t="n"/>
      <c r="I342" s="52" t="n"/>
      <c r="J342" s="51">
        <f>IFERROR(G342-H342,0)</f>
        <v/>
      </c>
      <c r="K342" s="52" t="n"/>
      <c r="L342" s="49">
        <f>IF(A342="","",IF(J342&lt;=0,"Paid",IF(AND(K342&lt;TODAY(),K342&lt;&gt;""),"Overdue","Open")))</f>
        <v/>
      </c>
      <c r="M342" s="49" t="n"/>
    </row>
    <row r="343">
      <c r="A343" s="52" t="n"/>
      <c r="B343" s="49" t="n"/>
      <c r="C343" s="49" t="n"/>
      <c r="D343" s="49" t="n"/>
      <c r="E343" s="49">
        <f>IFERROR(VLOOKUP(D343,'Stock Master'!$A$2:$L$49,2,FALSE),"")</f>
        <v/>
      </c>
      <c r="F343" s="49" t="n"/>
      <c r="G343" s="51">
        <f>IFERROR(VLOOKUP(D343,'Stock Master'!$A$2:$L$49,5,FALSE)*F343,0)</f>
        <v/>
      </c>
      <c r="H343" s="51" t="n"/>
      <c r="I343" s="52" t="n"/>
      <c r="J343" s="51">
        <f>IFERROR(G343-H343,0)</f>
        <v/>
      </c>
      <c r="K343" s="52" t="n"/>
      <c r="L343" s="49">
        <f>IF(A343="","",IF(J343&lt;=0,"Paid",IF(AND(K343&lt;TODAY(),K343&lt;&gt;""),"Overdue","Open")))</f>
        <v/>
      </c>
      <c r="M343" s="49" t="n"/>
    </row>
    <row r="344">
      <c r="A344" s="52" t="n"/>
      <c r="B344" s="49" t="n"/>
      <c r="C344" s="49" t="n"/>
      <c r="D344" s="49" t="n"/>
      <c r="E344" s="49">
        <f>IFERROR(VLOOKUP(D344,'Stock Master'!$A$2:$L$49,2,FALSE),"")</f>
        <v/>
      </c>
      <c r="F344" s="49" t="n"/>
      <c r="G344" s="51">
        <f>IFERROR(VLOOKUP(D344,'Stock Master'!$A$2:$L$49,5,FALSE)*F344,0)</f>
        <v/>
      </c>
      <c r="H344" s="51" t="n"/>
      <c r="I344" s="52" t="n"/>
      <c r="J344" s="51">
        <f>IFERROR(G344-H344,0)</f>
        <v/>
      </c>
      <c r="K344" s="52" t="n"/>
      <c r="L344" s="49">
        <f>IF(A344="","",IF(J344&lt;=0,"Paid",IF(AND(K344&lt;TODAY(),K344&lt;&gt;""),"Overdue","Open")))</f>
        <v/>
      </c>
      <c r="M344" s="49" t="n"/>
    </row>
    <row r="345">
      <c r="A345" s="52" t="n"/>
      <c r="B345" s="49" t="n"/>
      <c r="C345" s="49" t="n"/>
      <c r="D345" s="49" t="n"/>
      <c r="E345" s="49">
        <f>IFERROR(VLOOKUP(D345,'Stock Master'!$A$2:$L$49,2,FALSE),"")</f>
        <v/>
      </c>
      <c r="F345" s="49" t="n"/>
      <c r="G345" s="51">
        <f>IFERROR(VLOOKUP(D345,'Stock Master'!$A$2:$L$49,5,FALSE)*F345,0)</f>
        <v/>
      </c>
      <c r="H345" s="51" t="n"/>
      <c r="I345" s="52" t="n"/>
      <c r="J345" s="51">
        <f>IFERROR(G345-H345,0)</f>
        <v/>
      </c>
      <c r="K345" s="52" t="n"/>
      <c r="L345" s="49">
        <f>IF(A345="","",IF(J345&lt;=0,"Paid",IF(AND(K345&lt;TODAY(),K345&lt;&gt;""),"Overdue","Open")))</f>
        <v/>
      </c>
      <c r="M345" s="49" t="n"/>
    </row>
    <row r="346">
      <c r="A346" s="52" t="n"/>
      <c r="B346" s="49" t="n"/>
      <c r="C346" s="49" t="n"/>
      <c r="D346" s="49" t="n"/>
      <c r="E346" s="49">
        <f>IFERROR(VLOOKUP(D346,'Stock Master'!$A$2:$L$49,2,FALSE),"")</f>
        <v/>
      </c>
      <c r="F346" s="49" t="n"/>
      <c r="G346" s="51">
        <f>IFERROR(VLOOKUP(D346,'Stock Master'!$A$2:$L$49,5,FALSE)*F346,0)</f>
        <v/>
      </c>
      <c r="H346" s="51" t="n"/>
      <c r="I346" s="52" t="n"/>
      <c r="J346" s="51">
        <f>IFERROR(G346-H346,0)</f>
        <v/>
      </c>
      <c r="K346" s="52" t="n"/>
      <c r="L346" s="49">
        <f>IF(A346="","",IF(J346&lt;=0,"Paid",IF(AND(K346&lt;TODAY(),K346&lt;&gt;""),"Overdue","Open")))</f>
        <v/>
      </c>
      <c r="M346" s="49" t="n"/>
    </row>
    <row r="347">
      <c r="A347" s="52" t="n"/>
      <c r="B347" s="49" t="n"/>
      <c r="C347" s="49" t="n"/>
      <c r="D347" s="49" t="n"/>
      <c r="E347" s="49">
        <f>IFERROR(VLOOKUP(D347,'Stock Master'!$A$2:$L$49,2,FALSE),"")</f>
        <v/>
      </c>
      <c r="F347" s="49" t="n"/>
      <c r="G347" s="51">
        <f>IFERROR(VLOOKUP(D347,'Stock Master'!$A$2:$L$49,5,FALSE)*F347,0)</f>
        <v/>
      </c>
      <c r="H347" s="51" t="n"/>
      <c r="I347" s="52" t="n"/>
      <c r="J347" s="51">
        <f>IFERROR(G347-H347,0)</f>
        <v/>
      </c>
      <c r="K347" s="52" t="n"/>
      <c r="L347" s="49">
        <f>IF(A347="","",IF(J347&lt;=0,"Paid",IF(AND(K347&lt;TODAY(),K347&lt;&gt;""),"Overdue","Open")))</f>
        <v/>
      </c>
      <c r="M347" s="49" t="n"/>
    </row>
    <row r="348">
      <c r="A348" s="52" t="n"/>
      <c r="B348" s="49" t="n"/>
      <c r="C348" s="49" t="n"/>
      <c r="D348" s="49" t="n"/>
      <c r="E348" s="49">
        <f>IFERROR(VLOOKUP(D348,'Stock Master'!$A$2:$L$49,2,FALSE),"")</f>
        <v/>
      </c>
      <c r="F348" s="49" t="n"/>
      <c r="G348" s="51">
        <f>IFERROR(VLOOKUP(D348,'Stock Master'!$A$2:$L$49,5,FALSE)*F348,0)</f>
        <v/>
      </c>
      <c r="H348" s="51" t="n"/>
      <c r="I348" s="52" t="n"/>
      <c r="J348" s="51">
        <f>IFERROR(G348-H348,0)</f>
        <v/>
      </c>
      <c r="K348" s="52" t="n"/>
      <c r="L348" s="49">
        <f>IF(A348="","",IF(J348&lt;=0,"Paid",IF(AND(K348&lt;TODAY(),K348&lt;&gt;""),"Overdue","Open")))</f>
        <v/>
      </c>
      <c r="M348" s="49" t="n"/>
    </row>
    <row r="349">
      <c r="A349" s="52" t="n"/>
      <c r="B349" s="49" t="n"/>
      <c r="C349" s="49" t="n"/>
      <c r="D349" s="49" t="n"/>
      <c r="E349" s="49">
        <f>IFERROR(VLOOKUP(D349,'Stock Master'!$A$2:$L$49,2,FALSE),"")</f>
        <v/>
      </c>
      <c r="F349" s="49" t="n"/>
      <c r="G349" s="51">
        <f>IFERROR(VLOOKUP(D349,'Stock Master'!$A$2:$L$49,5,FALSE)*F349,0)</f>
        <v/>
      </c>
      <c r="H349" s="51" t="n"/>
      <c r="I349" s="52" t="n"/>
      <c r="J349" s="51">
        <f>IFERROR(G349-H349,0)</f>
        <v/>
      </c>
      <c r="K349" s="52" t="n"/>
      <c r="L349" s="49">
        <f>IF(A349="","",IF(J349&lt;=0,"Paid",IF(AND(K349&lt;TODAY(),K349&lt;&gt;""),"Overdue","Open")))</f>
        <v/>
      </c>
      <c r="M349" s="49" t="n"/>
    </row>
    <row r="350">
      <c r="A350" s="52" t="n"/>
      <c r="B350" s="49" t="n"/>
      <c r="C350" s="49" t="n"/>
      <c r="D350" s="49" t="n"/>
      <c r="E350" s="49">
        <f>IFERROR(VLOOKUP(D350,'Stock Master'!$A$2:$L$49,2,FALSE),"")</f>
        <v/>
      </c>
      <c r="F350" s="49" t="n"/>
      <c r="G350" s="51">
        <f>IFERROR(VLOOKUP(D350,'Stock Master'!$A$2:$L$49,5,FALSE)*F350,0)</f>
        <v/>
      </c>
      <c r="H350" s="51" t="n"/>
      <c r="I350" s="52" t="n"/>
      <c r="J350" s="51">
        <f>IFERROR(G350-H350,0)</f>
        <v/>
      </c>
      <c r="K350" s="52" t="n"/>
      <c r="L350" s="49">
        <f>IF(A350="","",IF(J350&lt;=0,"Paid",IF(AND(K350&lt;TODAY(),K350&lt;&gt;""),"Overdue","Open")))</f>
        <v/>
      </c>
      <c r="M350" s="49" t="n"/>
    </row>
    <row r="351">
      <c r="A351" s="52" t="n"/>
      <c r="B351" s="49" t="n"/>
      <c r="C351" s="49" t="n"/>
      <c r="D351" s="49" t="n"/>
      <c r="E351" s="49">
        <f>IFERROR(VLOOKUP(D351,'Stock Master'!$A$2:$L$49,2,FALSE),"")</f>
        <v/>
      </c>
      <c r="F351" s="49" t="n"/>
      <c r="G351" s="51">
        <f>IFERROR(VLOOKUP(D351,'Stock Master'!$A$2:$L$49,5,FALSE)*F351,0)</f>
        <v/>
      </c>
      <c r="H351" s="51" t="n"/>
      <c r="I351" s="52" t="n"/>
      <c r="J351" s="51">
        <f>IFERROR(G351-H351,0)</f>
        <v/>
      </c>
      <c r="K351" s="52" t="n"/>
      <c r="L351" s="49">
        <f>IF(A351="","",IF(J351&lt;=0,"Paid",IF(AND(K351&lt;TODAY(),K351&lt;&gt;""),"Overdue","Open")))</f>
        <v/>
      </c>
      <c r="M351" s="49" t="n"/>
    </row>
    <row r="352">
      <c r="A352" s="52" t="n"/>
      <c r="B352" s="49" t="n"/>
      <c r="C352" s="49" t="n"/>
      <c r="D352" s="49" t="n"/>
      <c r="E352" s="49">
        <f>IFERROR(VLOOKUP(D352,'Stock Master'!$A$2:$L$49,2,FALSE),"")</f>
        <v/>
      </c>
      <c r="F352" s="49" t="n"/>
      <c r="G352" s="51">
        <f>IFERROR(VLOOKUP(D352,'Stock Master'!$A$2:$L$49,5,FALSE)*F352,0)</f>
        <v/>
      </c>
      <c r="H352" s="51" t="n"/>
      <c r="I352" s="52" t="n"/>
      <c r="J352" s="51">
        <f>IFERROR(G352-H352,0)</f>
        <v/>
      </c>
      <c r="K352" s="52" t="n"/>
      <c r="L352" s="49">
        <f>IF(A352="","",IF(J352&lt;=0,"Paid",IF(AND(K352&lt;TODAY(),K352&lt;&gt;""),"Overdue","Open")))</f>
        <v/>
      </c>
      <c r="M352" s="49" t="n"/>
    </row>
    <row r="353">
      <c r="A353" s="52" t="n"/>
      <c r="B353" s="49" t="n"/>
      <c r="C353" s="49" t="n"/>
      <c r="D353" s="49" t="n"/>
      <c r="E353" s="49">
        <f>IFERROR(VLOOKUP(D353,'Stock Master'!$A$2:$L$49,2,FALSE),"")</f>
        <v/>
      </c>
      <c r="F353" s="49" t="n"/>
      <c r="G353" s="51">
        <f>IFERROR(VLOOKUP(D353,'Stock Master'!$A$2:$L$49,5,FALSE)*F353,0)</f>
        <v/>
      </c>
      <c r="H353" s="51" t="n"/>
      <c r="I353" s="52" t="n"/>
      <c r="J353" s="51">
        <f>IFERROR(G353-H353,0)</f>
        <v/>
      </c>
      <c r="K353" s="52" t="n"/>
      <c r="L353" s="49">
        <f>IF(A353="","",IF(J353&lt;=0,"Paid",IF(AND(K353&lt;TODAY(),K353&lt;&gt;""),"Overdue","Open")))</f>
        <v/>
      </c>
      <c r="M353" s="49" t="n"/>
    </row>
    <row r="354">
      <c r="A354" s="52" t="n"/>
      <c r="B354" s="49" t="n"/>
      <c r="C354" s="49" t="n"/>
      <c r="D354" s="49" t="n"/>
      <c r="E354" s="49">
        <f>IFERROR(VLOOKUP(D354,'Stock Master'!$A$2:$L$49,2,FALSE),"")</f>
        <v/>
      </c>
      <c r="F354" s="49" t="n"/>
      <c r="G354" s="51">
        <f>IFERROR(VLOOKUP(D354,'Stock Master'!$A$2:$L$49,5,FALSE)*F354,0)</f>
        <v/>
      </c>
      <c r="H354" s="51" t="n"/>
      <c r="I354" s="52" t="n"/>
      <c r="J354" s="51">
        <f>IFERROR(G354-H354,0)</f>
        <v/>
      </c>
      <c r="K354" s="52" t="n"/>
      <c r="L354" s="49">
        <f>IF(A354="","",IF(J354&lt;=0,"Paid",IF(AND(K354&lt;TODAY(),K354&lt;&gt;""),"Overdue","Open")))</f>
        <v/>
      </c>
      <c r="M354" s="49" t="n"/>
    </row>
    <row r="355">
      <c r="A355" s="52" t="n"/>
      <c r="B355" s="49" t="n"/>
      <c r="C355" s="49" t="n"/>
      <c r="D355" s="49" t="n"/>
      <c r="E355" s="49">
        <f>IFERROR(VLOOKUP(D355,'Stock Master'!$A$2:$L$49,2,FALSE),"")</f>
        <v/>
      </c>
      <c r="F355" s="49" t="n"/>
      <c r="G355" s="51">
        <f>IFERROR(VLOOKUP(D355,'Stock Master'!$A$2:$L$49,5,FALSE)*F355,0)</f>
        <v/>
      </c>
      <c r="H355" s="51" t="n"/>
      <c r="I355" s="52" t="n"/>
      <c r="J355" s="51">
        <f>IFERROR(G355-H355,0)</f>
        <v/>
      </c>
      <c r="K355" s="52" t="n"/>
      <c r="L355" s="49">
        <f>IF(A355="","",IF(J355&lt;=0,"Paid",IF(AND(K355&lt;TODAY(),K355&lt;&gt;""),"Overdue","Open")))</f>
        <v/>
      </c>
      <c r="M355" s="49" t="n"/>
    </row>
    <row r="356">
      <c r="A356" s="52" t="n"/>
      <c r="B356" s="49" t="n"/>
      <c r="C356" s="49" t="n"/>
      <c r="D356" s="49" t="n"/>
      <c r="E356" s="49">
        <f>IFERROR(VLOOKUP(D356,'Stock Master'!$A$2:$L$49,2,FALSE),"")</f>
        <v/>
      </c>
      <c r="F356" s="49" t="n"/>
      <c r="G356" s="51">
        <f>IFERROR(VLOOKUP(D356,'Stock Master'!$A$2:$L$49,5,FALSE)*F356,0)</f>
        <v/>
      </c>
      <c r="H356" s="51" t="n"/>
      <c r="I356" s="52" t="n"/>
      <c r="J356" s="51">
        <f>IFERROR(G356-H356,0)</f>
        <v/>
      </c>
      <c r="K356" s="52" t="n"/>
      <c r="L356" s="49">
        <f>IF(A356="","",IF(J356&lt;=0,"Paid",IF(AND(K356&lt;TODAY(),K356&lt;&gt;""),"Overdue","Open")))</f>
        <v/>
      </c>
      <c r="M356" s="49" t="n"/>
    </row>
    <row r="357">
      <c r="A357" s="52" t="n"/>
      <c r="B357" s="49" t="n"/>
      <c r="C357" s="49" t="n"/>
      <c r="D357" s="49" t="n"/>
      <c r="E357" s="49">
        <f>IFERROR(VLOOKUP(D357,'Stock Master'!$A$2:$L$49,2,FALSE),"")</f>
        <v/>
      </c>
      <c r="F357" s="49" t="n"/>
      <c r="G357" s="51">
        <f>IFERROR(VLOOKUP(D357,'Stock Master'!$A$2:$L$49,5,FALSE)*F357,0)</f>
        <v/>
      </c>
      <c r="H357" s="51" t="n"/>
      <c r="I357" s="52" t="n"/>
      <c r="J357" s="51">
        <f>IFERROR(G357-H357,0)</f>
        <v/>
      </c>
      <c r="K357" s="52" t="n"/>
      <c r="L357" s="49">
        <f>IF(A357="","",IF(J357&lt;=0,"Paid",IF(AND(K357&lt;TODAY(),K357&lt;&gt;""),"Overdue","Open")))</f>
        <v/>
      </c>
      <c r="M357" s="49" t="n"/>
    </row>
    <row r="358">
      <c r="A358" s="52" t="n"/>
      <c r="B358" s="49" t="n"/>
      <c r="C358" s="49" t="n"/>
      <c r="D358" s="49" t="n"/>
      <c r="E358" s="49">
        <f>IFERROR(VLOOKUP(D358,'Stock Master'!$A$2:$L$49,2,FALSE),"")</f>
        <v/>
      </c>
      <c r="F358" s="49" t="n"/>
      <c r="G358" s="51">
        <f>IFERROR(VLOOKUP(D358,'Stock Master'!$A$2:$L$49,5,FALSE)*F358,0)</f>
        <v/>
      </c>
      <c r="H358" s="51" t="n"/>
      <c r="I358" s="52" t="n"/>
      <c r="J358" s="51">
        <f>IFERROR(G358-H358,0)</f>
        <v/>
      </c>
      <c r="K358" s="52" t="n"/>
      <c r="L358" s="49">
        <f>IF(A358="","",IF(J358&lt;=0,"Paid",IF(AND(K358&lt;TODAY(),K358&lt;&gt;""),"Overdue","Open")))</f>
        <v/>
      </c>
      <c r="M358" s="49" t="n"/>
    </row>
    <row r="359">
      <c r="A359" s="52" t="n"/>
      <c r="B359" s="49" t="n"/>
      <c r="C359" s="49" t="n"/>
      <c r="D359" s="49" t="n"/>
      <c r="E359" s="49">
        <f>IFERROR(VLOOKUP(D359,'Stock Master'!$A$2:$L$49,2,FALSE),"")</f>
        <v/>
      </c>
      <c r="F359" s="49" t="n"/>
      <c r="G359" s="51">
        <f>IFERROR(VLOOKUP(D359,'Stock Master'!$A$2:$L$49,5,FALSE)*F359,0)</f>
        <v/>
      </c>
      <c r="H359" s="51" t="n"/>
      <c r="I359" s="52" t="n"/>
      <c r="J359" s="51">
        <f>IFERROR(G359-H359,0)</f>
        <v/>
      </c>
      <c r="K359" s="52" t="n"/>
      <c r="L359" s="49">
        <f>IF(A359="","",IF(J359&lt;=0,"Paid",IF(AND(K359&lt;TODAY(),K359&lt;&gt;""),"Overdue","Open")))</f>
        <v/>
      </c>
      <c r="M359" s="49" t="n"/>
    </row>
    <row r="360">
      <c r="A360" s="52" t="n"/>
      <c r="B360" s="49" t="n"/>
      <c r="C360" s="49" t="n"/>
      <c r="D360" s="49" t="n"/>
      <c r="E360" s="49">
        <f>IFERROR(VLOOKUP(D360,'Stock Master'!$A$2:$L$49,2,FALSE),"")</f>
        <v/>
      </c>
      <c r="F360" s="49" t="n"/>
      <c r="G360" s="51">
        <f>IFERROR(VLOOKUP(D360,'Stock Master'!$A$2:$L$49,5,FALSE)*F360,0)</f>
        <v/>
      </c>
      <c r="H360" s="51" t="n"/>
      <c r="I360" s="52" t="n"/>
      <c r="J360" s="51">
        <f>IFERROR(G360-H360,0)</f>
        <v/>
      </c>
      <c r="K360" s="52" t="n"/>
      <c r="L360" s="49">
        <f>IF(A360="","",IF(J360&lt;=0,"Paid",IF(AND(K360&lt;TODAY(),K360&lt;&gt;""),"Overdue","Open")))</f>
        <v/>
      </c>
      <c r="M360" s="49" t="n"/>
    </row>
    <row r="361">
      <c r="A361" s="52" t="n"/>
      <c r="B361" s="49" t="n"/>
      <c r="C361" s="49" t="n"/>
      <c r="D361" s="49" t="n"/>
      <c r="E361" s="49">
        <f>IFERROR(VLOOKUP(D361,'Stock Master'!$A$2:$L$49,2,FALSE),"")</f>
        <v/>
      </c>
      <c r="F361" s="49" t="n"/>
      <c r="G361" s="51">
        <f>IFERROR(VLOOKUP(D361,'Stock Master'!$A$2:$L$49,5,FALSE)*F361,0)</f>
        <v/>
      </c>
      <c r="H361" s="51" t="n"/>
      <c r="I361" s="52" t="n"/>
      <c r="J361" s="51">
        <f>IFERROR(G361-H361,0)</f>
        <v/>
      </c>
      <c r="K361" s="52" t="n"/>
      <c r="L361" s="49">
        <f>IF(A361="","",IF(J361&lt;=0,"Paid",IF(AND(K361&lt;TODAY(),K361&lt;&gt;""),"Overdue","Open")))</f>
        <v/>
      </c>
      <c r="M361" s="49" t="n"/>
    </row>
    <row r="362">
      <c r="A362" s="52" t="n"/>
      <c r="B362" s="49" t="n"/>
      <c r="C362" s="49" t="n"/>
      <c r="D362" s="49" t="n"/>
      <c r="E362" s="49">
        <f>IFERROR(VLOOKUP(D362,'Stock Master'!$A$2:$L$49,2,FALSE),"")</f>
        <v/>
      </c>
      <c r="F362" s="49" t="n"/>
      <c r="G362" s="51">
        <f>IFERROR(VLOOKUP(D362,'Stock Master'!$A$2:$L$49,5,FALSE)*F362,0)</f>
        <v/>
      </c>
      <c r="H362" s="51" t="n"/>
      <c r="I362" s="52" t="n"/>
      <c r="J362" s="51">
        <f>IFERROR(G362-H362,0)</f>
        <v/>
      </c>
      <c r="K362" s="52" t="n"/>
      <c r="L362" s="49">
        <f>IF(A362="","",IF(J362&lt;=0,"Paid",IF(AND(K362&lt;TODAY(),K362&lt;&gt;""),"Overdue","Open")))</f>
        <v/>
      </c>
      <c r="M362" s="49" t="n"/>
    </row>
    <row r="363">
      <c r="A363" s="52" t="n"/>
      <c r="B363" s="49" t="n"/>
      <c r="C363" s="49" t="n"/>
      <c r="D363" s="49" t="n"/>
      <c r="E363" s="49">
        <f>IFERROR(VLOOKUP(D363,'Stock Master'!$A$2:$L$49,2,FALSE),"")</f>
        <v/>
      </c>
      <c r="F363" s="49" t="n"/>
      <c r="G363" s="51">
        <f>IFERROR(VLOOKUP(D363,'Stock Master'!$A$2:$L$49,5,FALSE)*F363,0)</f>
        <v/>
      </c>
      <c r="H363" s="51" t="n"/>
      <c r="I363" s="52" t="n"/>
      <c r="J363" s="51">
        <f>IFERROR(G363-H363,0)</f>
        <v/>
      </c>
      <c r="K363" s="52" t="n"/>
      <c r="L363" s="49">
        <f>IF(A363="","",IF(J363&lt;=0,"Paid",IF(AND(K363&lt;TODAY(),K363&lt;&gt;""),"Overdue","Open")))</f>
        <v/>
      </c>
      <c r="M363" s="49" t="n"/>
    </row>
    <row r="364">
      <c r="A364" s="52" t="n"/>
      <c r="B364" s="49" t="n"/>
      <c r="C364" s="49" t="n"/>
      <c r="D364" s="49" t="n"/>
      <c r="E364" s="49">
        <f>IFERROR(VLOOKUP(D364,'Stock Master'!$A$2:$L$49,2,FALSE),"")</f>
        <v/>
      </c>
      <c r="F364" s="49" t="n"/>
      <c r="G364" s="51">
        <f>IFERROR(VLOOKUP(D364,'Stock Master'!$A$2:$L$49,5,FALSE)*F364,0)</f>
        <v/>
      </c>
      <c r="H364" s="51" t="n"/>
      <c r="I364" s="52" t="n"/>
      <c r="J364" s="51">
        <f>IFERROR(G364-H364,0)</f>
        <v/>
      </c>
      <c r="K364" s="52" t="n"/>
      <c r="L364" s="49">
        <f>IF(A364="","",IF(J364&lt;=0,"Paid",IF(AND(K364&lt;TODAY(),K364&lt;&gt;""),"Overdue","Open")))</f>
        <v/>
      </c>
      <c r="M364" s="49" t="n"/>
    </row>
    <row r="365">
      <c r="A365" s="52" t="n"/>
      <c r="B365" s="49" t="n"/>
      <c r="C365" s="49" t="n"/>
      <c r="D365" s="49" t="n"/>
      <c r="E365" s="49">
        <f>IFERROR(VLOOKUP(D365,'Stock Master'!$A$2:$L$49,2,FALSE),"")</f>
        <v/>
      </c>
      <c r="F365" s="49" t="n"/>
      <c r="G365" s="51">
        <f>IFERROR(VLOOKUP(D365,'Stock Master'!$A$2:$L$49,5,FALSE)*F365,0)</f>
        <v/>
      </c>
      <c r="H365" s="51" t="n"/>
      <c r="I365" s="52" t="n"/>
      <c r="J365" s="51">
        <f>IFERROR(G365-H365,0)</f>
        <v/>
      </c>
      <c r="K365" s="52" t="n"/>
      <c r="L365" s="49">
        <f>IF(A365="","",IF(J365&lt;=0,"Paid",IF(AND(K365&lt;TODAY(),K365&lt;&gt;""),"Overdue","Open")))</f>
        <v/>
      </c>
      <c r="M365" s="49" t="n"/>
    </row>
    <row r="366">
      <c r="A366" s="52" t="n"/>
      <c r="B366" s="49" t="n"/>
      <c r="C366" s="49" t="n"/>
      <c r="D366" s="49" t="n"/>
      <c r="E366" s="49">
        <f>IFERROR(VLOOKUP(D366,'Stock Master'!$A$2:$L$49,2,FALSE),"")</f>
        <v/>
      </c>
      <c r="F366" s="49" t="n"/>
      <c r="G366" s="51">
        <f>IFERROR(VLOOKUP(D366,'Stock Master'!$A$2:$L$49,5,FALSE)*F366,0)</f>
        <v/>
      </c>
      <c r="H366" s="51" t="n"/>
      <c r="I366" s="52" t="n"/>
      <c r="J366" s="51">
        <f>IFERROR(G366-H366,0)</f>
        <v/>
      </c>
      <c r="K366" s="52" t="n"/>
      <c r="L366" s="49">
        <f>IF(A366="","",IF(J366&lt;=0,"Paid",IF(AND(K366&lt;TODAY(),K366&lt;&gt;""),"Overdue","Open")))</f>
        <v/>
      </c>
      <c r="M366" s="49" t="n"/>
    </row>
    <row r="367">
      <c r="A367" s="52" t="n"/>
      <c r="B367" s="49" t="n"/>
      <c r="C367" s="49" t="n"/>
      <c r="D367" s="49" t="n"/>
      <c r="E367" s="49">
        <f>IFERROR(VLOOKUP(D367,'Stock Master'!$A$2:$L$49,2,FALSE),"")</f>
        <v/>
      </c>
      <c r="F367" s="49" t="n"/>
      <c r="G367" s="51">
        <f>IFERROR(VLOOKUP(D367,'Stock Master'!$A$2:$L$49,5,FALSE)*F367,0)</f>
        <v/>
      </c>
      <c r="H367" s="51" t="n"/>
      <c r="I367" s="52" t="n"/>
      <c r="J367" s="51">
        <f>IFERROR(G367-H367,0)</f>
        <v/>
      </c>
      <c r="K367" s="52" t="n"/>
      <c r="L367" s="49">
        <f>IF(A367="","",IF(J367&lt;=0,"Paid",IF(AND(K367&lt;TODAY(),K367&lt;&gt;""),"Overdue","Open")))</f>
        <v/>
      </c>
      <c r="M367" s="49" t="n"/>
    </row>
    <row r="368">
      <c r="A368" s="52" t="n"/>
      <c r="B368" s="49" t="n"/>
      <c r="C368" s="49" t="n"/>
      <c r="D368" s="49" t="n"/>
      <c r="E368" s="49">
        <f>IFERROR(VLOOKUP(D368,'Stock Master'!$A$2:$L$49,2,FALSE),"")</f>
        <v/>
      </c>
      <c r="F368" s="49" t="n"/>
      <c r="G368" s="51">
        <f>IFERROR(VLOOKUP(D368,'Stock Master'!$A$2:$L$49,5,FALSE)*F368,0)</f>
        <v/>
      </c>
      <c r="H368" s="51" t="n"/>
      <c r="I368" s="52" t="n"/>
      <c r="J368" s="51">
        <f>IFERROR(G368-H368,0)</f>
        <v/>
      </c>
      <c r="K368" s="52" t="n"/>
      <c r="L368" s="49">
        <f>IF(A368="","",IF(J368&lt;=0,"Paid",IF(AND(K368&lt;TODAY(),K368&lt;&gt;""),"Overdue","Open")))</f>
        <v/>
      </c>
      <c r="M368" s="49" t="n"/>
    </row>
    <row r="369">
      <c r="A369" s="52" t="n"/>
      <c r="B369" s="49" t="n"/>
      <c r="C369" s="49" t="n"/>
      <c r="D369" s="49" t="n"/>
      <c r="E369" s="49">
        <f>IFERROR(VLOOKUP(D369,'Stock Master'!$A$2:$L$49,2,FALSE),"")</f>
        <v/>
      </c>
      <c r="F369" s="49" t="n"/>
      <c r="G369" s="51">
        <f>IFERROR(VLOOKUP(D369,'Stock Master'!$A$2:$L$49,5,FALSE)*F369,0)</f>
        <v/>
      </c>
      <c r="H369" s="51" t="n"/>
      <c r="I369" s="52" t="n"/>
      <c r="J369" s="51">
        <f>IFERROR(G369-H369,0)</f>
        <v/>
      </c>
      <c r="K369" s="52" t="n"/>
      <c r="L369" s="49">
        <f>IF(A369="","",IF(J369&lt;=0,"Paid",IF(AND(K369&lt;TODAY(),K369&lt;&gt;""),"Overdue","Open")))</f>
        <v/>
      </c>
      <c r="M369" s="49" t="n"/>
    </row>
    <row r="370">
      <c r="A370" s="52" t="n"/>
      <c r="B370" s="49" t="n"/>
      <c r="C370" s="49" t="n"/>
      <c r="D370" s="49" t="n"/>
      <c r="E370" s="49">
        <f>IFERROR(VLOOKUP(D370,'Stock Master'!$A$2:$L$49,2,FALSE),"")</f>
        <v/>
      </c>
      <c r="F370" s="49" t="n"/>
      <c r="G370" s="51">
        <f>IFERROR(VLOOKUP(D370,'Stock Master'!$A$2:$L$49,5,FALSE)*F370,0)</f>
        <v/>
      </c>
      <c r="H370" s="51" t="n"/>
      <c r="I370" s="52" t="n"/>
      <c r="J370" s="51">
        <f>IFERROR(G370-H370,0)</f>
        <v/>
      </c>
      <c r="K370" s="52" t="n"/>
      <c r="L370" s="49">
        <f>IF(A370="","",IF(J370&lt;=0,"Paid",IF(AND(K370&lt;TODAY(),K370&lt;&gt;""),"Overdue","Open")))</f>
        <v/>
      </c>
      <c r="M370" s="49" t="n"/>
    </row>
    <row r="371">
      <c r="A371" s="52" t="n"/>
      <c r="B371" s="49" t="n"/>
      <c r="C371" s="49" t="n"/>
      <c r="D371" s="49" t="n"/>
      <c r="E371" s="49">
        <f>IFERROR(VLOOKUP(D371,'Stock Master'!$A$2:$L$49,2,FALSE),"")</f>
        <v/>
      </c>
      <c r="F371" s="49" t="n"/>
      <c r="G371" s="51">
        <f>IFERROR(VLOOKUP(D371,'Stock Master'!$A$2:$L$49,5,FALSE)*F371,0)</f>
        <v/>
      </c>
      <c r="H371" s="51" t="n"/>
      <c r="I371" s="52" t="n"/>
      <c r="J371" s="51">
        <f>IFERROR(G371-H371,0)</f>
        <v/>
      </c>
      <c r="K371" s="52" t="n"/>
      <c r="L371" s="49">
        <f>IF(A371="","",IF(J371&lt;=0,"Paid",IF(AND(K371&lt;TODAY(),K371&lt;&gt;""),"Overdue","Open")))</f>
        <v/>
      </c>
      <c r="M371" s="49" t="n"/>
    </row>
    <row r="372">
      <c r="A372" s="52" t="n"/>
      <c r="B372" s="49" t="n"/>
      <c r="C372" s="49" t="n"/>
      <c r="D372" s="49" t="n"/>
      <c r="E372" s="49">
        <f>IFERROR(VLOOKUP(D372,'Stock Master'!$A$2:$L$49,2,FALSE),"")</f>
        <v/>
      </c>
      <c r="F372" s="49" t="n"/>
      <c r="G372" s="51">
        <f>IFERROR(VLOOKUP(D372,'Stock Master'!$A$2:$L$49,5,FALSE)*F372,0)</f>
        <v/>
      </c>
      <c r="H372" s="51" t="n"/>
      <c r="I372" s="52" t="n"/>
      <c r="J372" s="51">
        <f>IFERROR(G372-H372,0)</f>
        <v/>
      </c>
      <c r="K372" s="52" t="n"/>
      <c r="L372" s="49">
        <f>IF(A372="","",IF(J372&lt;=0,"Paid",IF(AND(K372&lt;TODAY(),K372&lt;&gt;""),"Overdue","Open")))</f>
        <v/>
      </c>
      <c r="M372" s="49" t="n"/>
    </row>
    <row r="373">
      <c r="A373" s="52" t="n"/>
      <c r="B373" s="49" t="n"/>
      <c r="C373" s="49" t="n"/>
      <c r="D373" s="49" t="n"/>
      <c r="E373" s="49">
        <f>IFERROR(VLOOKUP(D373,'Stock Master'!$A$2:$L$49,2,FALSE),"")</f>
        <v/>
      </c>
      <c r="F373" s="49" t="n"/>
      <c r="G373" s="51">
        <f>IFERROR(VLOOKUP(D373,'Stock Master'!$A$2:$L$49,5,FALSE)*F373,0)</f>
        <v/>
      </c>
      <c r="H373" s="51" t="n"/>
      <c r="I373" s="52" t="n"/>
      <c r="J373" s="51">
        <f>IFERROR(G373-H373,0)</f>
        <v/>
      </c>
      <c r="K373" s="52" t="n"/>
      <c r="L373" s="49">
        <f>IF(A373="","",IF(J373&lt;=0,"Paid",IF(AND(K373&lt;TODAY(),K373&lt;&gt;""),"Overdue","Open")))</f>
        <v/>
      </c>
      <c r="M373" s="49" t="n"/>
    </row>
    <row r="374">
      <c r="A374" s="52" t="n"/>
      <c r="B374" s="49" t="n"/>
      <c r="C374" s="49" t="n"/>
      <c r="D374" s="49" t="n"/>
      <c r="E374" s="49">
        <f>IFERROR(VLOOKUP(D374,'Stock Master'!$A$2:$L$49,2,FALSE),"")</f>
        <v/>
      </c>
      <c r="F374" s="49" t="n"/>
      <c r="G374" s="51">
        <f>IFERROR(VLOOKUP(D374,'Stock Master'!$A$2:$L$49,5,FALSE)*F374,0)</f>
        <v/>
      </c>
      <c r="H374" s="51" t="n"/>
      <c r="I374" s="52" t="n"/>
      <c r="J374" s="51">
        <f>IFERROR(G374-H374,0)</f>
        <v/>
      </c>
      <c r="K374" s="52" t="n"/>
      <c r="L374" s="49">
        <f>IF(A374="","",IF(J374&lt;=0,"Paid",IF(AND(K374&lt;TODAY(),K374&lt;&gt;""),"Overdue","Open")))</f>
        <v/>
      </c>
      <c r="M374" s="49" t="n"/>
    </row>
    <row r="375">
      <c r="A375" s="52" t="n"/>
      <c r="B375" s="49" t="n"/>
      <c r="C375" s="49" t="n"/>
      <c r="D375" s="49" t="n"/>
      <c r="E375" s="49">
        <f>IFERROR(VLOOKUP(D375,'Stock Master'!$A$2:$L$49,2,FALSE),"")</f>
        <v/>
      </c>
      <c r="F375" s="49" t="n"/>
      <c r="G375" s="51">
        <f>IFERROR(VLOOKUP(D375,'Stock Master'!$A$2:$L$49,5,FALSE)*F375,0)</f>
        <v/>
      </c>
      <c r="H375" s="51" t="n"/>
      <c r="I375" s="52" t="n"/>
      <c r="J375" s="51">
        <f>IFERROR(G375-H375,0)</f>
        <v/>
      </c>
      <c r="K375" s="52" t="n"/>
      <c r="L375" s="49">
        <f>IF(A375="","",IF(J375&lt;=0,"Paid",IF(AND(K375&lt;TODAY(),K375&lt;&gt;""),"Overdue","Open")))</f>
        <v/>
      </c>
      <c r="M375" s="49" t="n"/>
    </row>
    <row r="376">
      <c r="A376" s="52" t="n"/>
      <c r="B376" s="49" t="n"/>
      <c r="C376" s="49" t="n"/>
      <c r="D376" s="49" t="n"/>
      <c r="E376" s="49">
        <f>IFERROR(VLOOKUP(D376,'Stock Master'!$A$2:$L$49,2,FALSE),"")</f>
        <v/>
      </c>
      <c r="F376" s="49" t="n"/>
      <c r="G376" s="51">
        <f>IFERROR(VLOOKUP(D376,'Stock Master'!$A$2:$L$49,5,FALSE)*F376,0)</f>
        <v/>
      </c>
      <c r="H376" s="51" t="n"/>
      <c r="I376" s="52" t="n"/>
      <c r="J376" s="51">
        <f>IFERROR(G376-H376,0)</f>
        <v/>
      </c>
      <c r="K376" s="52" t="n"/>
      <c r="L376" s="49">
        <f>IF(A376="","",IF(J376&lt;=0,"Paid",IF(AND(K376&lt;TODAY(),K376&lt;&gt;""),"Overdue","Open")))</f>
        <v/>
      </c>
      <c r="M376" s="49" t="n"/>
    </row>
    <row r="377">
      <c r="A377" s="52" t="n"/>
      <c r="B377" s="49" t="n"/>
      <c r="C377" s="49" t="n"/>
      <c r="D377" s="49" t="n"/>
      <c r="E377" s="49">
        <f>IFERROR(VLOOKUP(D377,'Stock Master'!$A$2:$L$49,2,FALSE),"")</f>
        <v/>
      </c>
      <c r="F377" s="49" t="n"/>
      <c r="G377" s="51">
        <f>IFERROR(VLOOKUP(D377,'Stock Master'!$A$2:$L$49,5,FALSE)*F377,0)</f>
        <v/>
      </c>
      <c r="H377" s="51" t="n"/>
      <c r="I377" s="52" t="n"/>
      <c r="J377" s="51">
        <f>IFERROR(G377-H377,0)</f>
        <v/>
      </c>
      <c r="K377" s="52" t="n"/>
      <c r="L377" s="49">
        <f>IF(A377="","",IF(J377&lt;=0,"Paid",IF(AND(K377&lt;TODAY(),K377&lt;&gt;""),"Overdue","Open")))</f>
        <v/>
      </c>
      <c r="M377" s="49" t="n"/>
    </row>
    <row r="378">
      <c r="A378" s="52" t="n"/>
      <c r="B378" s="49" t="n"/>
      <c r="C378" s="49" t="n"/>
      <c r="D378" s="49" t="n"/>
      <c r="E378" s="49">
        <f>IFERROR(VLOOKUP(D378,'Stock Master'!$A$2:$L$49,2,FALSE),"")</f>
        <v/>
      </c>
      <c r="F378" s="49" t="n"/>
      <c r="G378" s="51">
        <f>IFERROR(VLOOKUP(D378,'Stock Master'!$A$2:$L$49,5,FALSE)*F378,0)</f>
        <v/>
      </c>
      <c r="H378" s="51" t="n"/>
      <c r="I378" s="52" t="n"/>
      <c r="J378" s="51">
        <f>IFERROR(G378-H378,0)</f>
        <v/>
      </c>
      <c r="K378" s="52" t="n"/>
      <c r="L378" s="49">
        <f>IF(A378="","",IF(J378&lt;=0,"Paid",IF(AND(K378&lt;TODAY(),K378&lt;&gt;""),"Overdue","Open")))</f>
        <v/>
      </c>
      <c r="M378" s="49" t="n"/>
    </row>
    <row r="379">
      <c r="A379" s="52" t="n"/>
      <c r="B379" s="49" t="n"/>
      <c r="C379" s="49" t="n"/>
      <c r="D379" s="49" t="n"/>
      <c r="E379" s="49">
        <f>IFERROR(VLOOKUP(D379,'Stock Master'!$A$2:$L$49,2,FALSE),"")</f>
        <v/>
      </c>
      <c r="F379" s="49" t="n"/>
      <c r="G379" s="51">
        <f>IFERROR(VLOOKUP(D379,'Stock Master'!$A$2:$L$49,5,FALSE)*F379,0)</f>
        <v/>
      </c>
      <c r="H379" s="51" t="n"/>
      <c r="I379" s="52" t="n"/>
      <c r="J379" s="51">
        <f>IFERROR(G379-H379,0)</f>
        <v/>
      </c>
      <c r="K379" s="52" t="n"/>
      <c r="L379" s="49">
        <f>IF(A379="","",IF(J379&lt;=0,"Paid",IF(AND(K379&lt;TODAY(),K379&lt;&gt;""),"Overdue","Open")))</f>
        <v/>
      </c>
      <c r="M379" s="49" t="n"/>
    </row>
    <row r="380">
      <c r="A380" s="52" t="n"/>
      <c r="B380" s="49" t="n"/>
      <c r="C380" s="49" t="n"/>
      <c r="D380" s="49" t="n"/>
      <c r="E380" s="49">
        <f>IFERROR(VLOOKUP(D380,'Stock Master'!$A$2:$L$49,2,FALSE),"")</f>
        <v/>
      </c>
      <c r="F380" s="49" t="n"/>
      <c r="G380" s="51">
        <f>IFERROR(VLOOKUP(D380,'Stock Master'!$A$2:$L$49,5,FALSE)*F380,0)</f>
        <v/>
      </c>
      <c r="H380" s="51" t="n"/>
      <c r="I380" s="52" t="n"/>
      <c r="J380" s="51">
        <f>IFERROR(G380-H380,0)</f>
        <v/>
      </c>
      <c r="K380" s="52" t="n"/>
      <c r="L380" s="49">
        <f>IF(A380="","",IF(J380&lt;=0,"Paid",IF(AND(K380&lt;TODAY(),K380&lt;&gt;""),"Overdue","Open")))</f>
        <v/>
      </c>
      <c r="M380" s="49" t="n"/>
    </row>
    <row r="381">
      <c r="A381" s="52" t="n"/>
      <c r="B381" s="49" t="n"/>
      <c r="C381" s="49" t="n"/>
      <c r="D381" s="49" t="n"/>
      <c r="E381" s="49">
        <f>IFERROR(VLOOKUP(D381,'Stock Master'!$A$2:$L$49,2,FALSE),"")</f>
        <v/>
      </c>
      <c r="F381" s="49" t="n"/>
      <c r="G381" s="51">
        <f>IFERROR(VLOOKUP(D381,'Stock Master'!$A$2:$L$49,5,FALSE)*F381,0)</f>
        <v/>
      </c>
      <c r="H381" s="51" t="n"/>
      <c r="I381" s="52" t="n"/>
      <c r="J381" s="51">
        <f>IFERROR(G381-H381,0)</f>
        <v/>
      </c>
      <c r="K381" s="52" t="n"/>
      <c r="L381" s="49">
        <f>IF(A381="","",IF(J381&lt;=0,"Paid",IF(AND(K381&lt;TODAY(),K381&lt;&gt;""),"Overdue","Open")))</f>
        <v/>
      </c>
      <c r="M381" s="49" t="n"/>
    </row>
    <row r="382">
      <c r="A382" s="52" t="n"/>
      <c r="B382" s="49" t="n"/>
      <c r="C382" s="49" t="n"/>
      <c r="D382" s="49" t="n"/>
      <c r="E382" s="49">
        <f>IFERROR(VLOOKUP(D382,'Stock Master'!$A$2:$L$49,2,FALSE),"")</f>
        <v/>
      </c>
      <c r="F382" s="49" t="n"/>
      <c r="G382" s="51">
        <f>IFERROR(VLOOKUP(D382,'Stock Master'!$A$2:$L$49,5,FALSE)*F382,0)</f>
        <v/>
      </c>
      <c r="H382" s="51" t="n"/>
      <c r="I382" s="52" t="n"/>
      <c r="J382" s="51">
        <f>IFERROR(G382-H382,0)</f>
        <v/>
      </c>
      <c r="K382" s="52" t="n"/>
      <c r="L382" s="49">
        <f>IF(A382="","",IF(J382&lt;=0,"Paid",IF(AND(K382&lt;TODAY(),K382&lt;&gt;""),"Overdue","Open")))</f>
        <v/>
      </c>
      <c r="M382" s="49" t="n"/>
    </row>
    <row r="383">
      <c r="A383" s="52" t="n"/>
      <c r="B383" s="49" t="n"/>
      <c r="C383" s="49" t="n"/>
      <c r="D383" s="49" t="n"/>
      <c r="E383" s="49">
        <f>IFERROR(VLOOKUP(D383,'Stock Master'!$A$2:$L$49,2,FALSE),"")</f>
        <v/>
      </c>
      <c r="F383" s="49" t="n"/>
      <c r="G383" s="51">
        <f>IFERROR(VLOOKUP(D383,'Stock Master'!$A$2:$L$49,5,FALSE)*F383,0)</f>
        <v/>
      </c>
      <c r="H383" s="51" t="n"/>
      <c r="I383" s="52" t="n"/>
      <c r="J383" s="51">
        <f>IFERROR(G383-H383,0)</f>
        <v/>
      </c>
      <c r="K383" s="52" t="n"/>
      <c r="L383" s="49">
        <f>IF(A383="","",IF(J383&lt;=0,"Paid",IF(AND(K383&lt;TODAY(),K383&lt;&gt;""),"Overdue","Open")))</f>
        <v/>
      </c>
      <c r="M383" s="49" t="n"/>
    </row>
    <row r="384">
      <c r="A384" s="52" t="n"/>
      <c r="B384" s="49" t="n"/>
      <c r="C384" s="49" t="n"/>
      <c r="D384" s="49" t="n"/>
      <c r="E384" s="49">
        <f>IFERROR(VLOOKUP(D384,'Stock Master'!$A$2:$L$49,2,FALSE),"")</f>
        <v/>
      </c>
      <c r="F384" s="49" t="n"/>
      <c r="G384" s="51">
        <f>IFERROR(VLOOKUP(D384,'Stock Master'!$A$2:$L$49,5,FALSE)*F384,0)</f>
        <v/>
      </c>
      <c r="H384" s="51" t="n"/>
      <c r="I384" s="52" t="n"/>
      <c r="J384" s="51">
        <f>IFERROR(G384-H384,0)</f>
        <v/>
      </c>
      <c r="K384" s="52" t="n"/>
      <c r="L384" s="49">
        <f>IF(A384="","",IF(J384&lt;=0,"Paid",IF(AND(K384&lt;TODAY(),K384&lt;&gt;""),"Overdue","Open")))</f>
        <v/>
      </c>
      <c r="M384" s="49" t="n"/>
    </row>
    <row r="385">
      <c r="A385" s="52" t="n"/>
      <c r="B385" s="49" t="n"/>
      <c r="C385" s="49" t="n"/>
      <c r="D385" s="49" t="n"/>
      <c r="E385" s="49">
        <f>IFERROR(VLOOKUP(D385,'Stock Master'!$A$2:$L$49,2,FALSE),"")</f>
        <v/>
      </c>
      <c r="F385" s="49" t="n"/>
      <c r="G385" s="51">
        <f>IFERROR(VLOOKUP(D385,'Stock Master'!$A$2:$L$49,5,FALSE)*F385,0)</f>
        <v/>
      </c>
      <c r="H385" s="51" t="n"/>
      <c r="I385" s="52" t="n"/>
      <c r="J385" s="51">
        <f>IFERROR(G385-H385,0)</f>
        <v/>
      </c>
      <c r="K385" s="52" t="n"/>
      <c r="L385" s="49">
        <f>IF(A385="","",IF(J385&lt;=0,"Paid",IF(AND(K385&lt;TODAY(),K385&lt;&gt;""),"Overdue","Open")))</f>
        <v/>
      </c>
      <c r="M385" s="49" t="n"/>
    </row>
    <row r="386">
      <c r="A386" s="52" t="n"/>
      <c r="B386" s="49" t="n"/>
      <c r="C386" s="49" t="n"/>
      <c r="D386" s="49" t="n"/>
      <c r="E386" s="49">
        <f>IFERROR(VLOOKUP(D386,'Stock Master'!$A$2:$L$49,2,FALSE),"")</f>
        <v/>
      </c>
      <c r="F386" s="49" t="n"/>
      <c r="G386" s="51">
        <f>IFERROR(VLOOKUP(D386,'Stock Master'!$A$2:$L$49,5,FALSE)*F386,0)</f>
        <v/>
      </c>
      <c r="H386" s="51" t="n"/>
      <c r="I386" s="52" t="n"/>
      <c r="J386" s="51">
        <f>IFERROR(G386-H386,0)</f>
        <v/>
      </c>
      <c r="K386" s="52" t="n"/>
      <c r="L386" s="49">
        <f>IF(A386="","",IF(J386&lt;=0,"Paid",IF(AND(K386&lt;TODAY(),K386&lt;&gt;""),"Overdue","Open")))</f>
        <v/>
      </c>
      <c r="M386" s="49" t="n"/>
    </row>
    <row r="387">
      <c r="A387" s="52" t="n"/>
      <c r="B387" s="49" t="n"/>
      <c r="C387" s="49" t="n"/>
      <c r="D387" s="49" t="n"/>
      <c r="E387" s="49">
        <f>IFERROR(VLOOKUP(D387,'Stock Master'!$A$2:$L$49,2,FALSE),"")</f>
        <v/>
      </c>
      <c r="F387" s="49" t="n"/>
      <c r="G387" s="51">
        <f>IFERROR(VLOOKUP(D387,'Stock Master'!$A$2:$L$49,5,FALSE)*F387,0)</f>
        <v/>
      </c>
      <c r="H387" s="51" t="n"/>
      <c r="I387" s="52" t="n"/>
      <c r="J387" s="51">
        <f>IFERROR(G387-H387,0)</f>
        <v/>
      </c>
      <c r="K387" s="52" t="n"/>
      <c r="L387" s="49">
        <f>IF(A387="","",IF(J387&lt;=0,"Paid",IF(AND(K387&lt;TODAY(),K387&lt;&gt;""),"Overdue","Open")))</f>
        <v/>
      </c>
      <c r="M387" s="49" t="n"/>
    </row>
    <row r="388">
      <c r="A388" s="52" t="n"/>
      <c r="B388" s="49" t="n"/>
      <c r="C388" s="49" t="n"/>
      <c r="D388" s="49" t="n"/>
      <c r="E388" s="49">
        <f>IFERROR(VLOOKUP(D388,'Stock Master'!$A$2:$L$49,2,FALSE),"")</f>
        <v/>
      </c>
      <c r="F388" s="49" t="n"/>
      <c r="G388" s="51">
        <f>IFERROR(VLOOKUP(D388,'Stock Master'!$A$2:$L$49,5,FALSE)*F388,0)</f>
        <v/>
      </c>
      <c r="H388" s="51" t="n"/>
      <c r="I388" s="52" t="n"/>
      <c r="J388" s="51">
        <f>IFERROR(G388-H388,0)</f>
        <v/>
      </c>
      <c r="K388" s="52" t="n"/>
      <c r="L388" s="49">
        <f>IF(A388="","",IF(J388&lt;=0,"Paid",IF(AND(K388&lt;TODAY(),K388&lt;&gt;""),"Overdue","Open")))</f>
        <v/>
      </c>
      <c r="M388" s="49" t="n"/>
    </row>
    <row r="389">
      <c r="A389" s="52" t="n"/>
      <c r="B389" s="49" t="n"/>
      <c r="C389" s="49" t="n"/>
      <c r="D389" s="49" t="n"/>
      <c r="E389" s="49">
        <f>IFERROR(VLOOKUP(D389,'Stock Master'!$A$2:$L$49,2,FALSE),"")</f>
        <v/>
      </c>
      <c r="F389" s="49" t="n"/>
      <c r="G389" s="51">
        <f>IFERROR(VLOOKUP(D389,'Stock Master'!$A$2:$L$49,5,FALSE)*F389,0)</f>
        <v/>
      </c>
      <c r="H389" s="51" t="n"/>
      <c r="I389" s="52" t="n"/>
      <c r="J389" s="51">
        <f>IFERROR(G389-H389,0)</f>
        <v/>
      </c>
      <c r="K389" s="52" t="n"/>
      <c r="L389" s="49">
        <f>IF(A389="","",IF(J389&lt;=0,"Paid",IF(AND(K389&lt;TODAY(),K389&lt;&gt;""),"Overdue","Open")))</f>
        <v/>
      </c>
      <c r="M389" s="49" t="n"/>
    </row>
    <row r="390">
      <c r="A390" s="52" t="n"/>
      <c r="B390" s="49" t="n"/>
      <c r="C390" s="49" t="n"/>
      <c r="D390" s="49" t="n"/>
      <c r="E390" s="49">
        <f>IFERROR(VLOOKUP(D390,'Stock Master'!$A$2:$L$49,2,FALSE),"")</f>
        <v/>
      </c>
      <c r="F390" s="49" t="n"/>
      <c r="G390" s="51">
        <f>IFERROR(VLOOKUP(D390,'Stock Master'!$A$2:$L$49,5,FALSE)*F390,0)</f>
        <v/>
      </c>
      <c r="H390" s="51" t="n"/>
      <c r="I390" s="52" t="n"/>
      <c r="J390" s="51">
        <f>IFERROR(G390-H390,0)</f>
        <v/>
      </c>
      <c r="K390" s="52" t="n"/>
      <c r="L390" s="49">
        <f>IF(A390="","",IF(J390&lt;=0,"Paid",IF(AND(K390&lt;TODAY(),K390&lt;&gt;""),"Overdue","Open")))</f>
        <v/>
      </c>
      <c r="M390" s="49" t="n"/>
    </row>
    <row r="391">
      <c r="A391" s="52" t="n"/>
      <c r="B391" s="49" t="n"/>
      <c r="C391" s="49" t="n"/>
      <c r="D391" s="49" t="n"/>
      <c r="E391" s="49">
        <f>IFERROR(VLOOKUP(D391,'Stock Master'!$A$2:$L$49,2,FALSE),"")</f>
        <v/>
      </c>
      <c r="F391" s="49" t="n"/>
      <c r="G391" s="51">
        <f>IFERROR(VLOOKUP(D391,'Stock Master'!$A$2:$L$49,5,FALSE)*F391,0)</f>
        <v/>
      </c>
      <c r="H391" s="51" t="n"/>
      <c r="I391" s="52" t="n"/>
      <c r="J391" s="51">
        <f>IFERROR(G391-H391,0)</f>
        <v/>
      </c>
      <c r="K391" s="52" t="n"/>
      <c r="L391" s="49">
        <f>IF(A391="","",IF(J391&lt;=0,"Paid",IF(AND(K391&lt;TODAY(),K391&lt;&gt;""),"Overdue","Open")))</f>
        <v/>
      </c>
      <c r="M391" s="49" t="n"/>
    </row>
    <row r="392">
      <c r="A392" s="52" t="n"/>
      <c r="B392" s="49" t="n"/>
      <c r="C392" s="49" t="n"/>
      <c r="D392" s="49" t="n"/>
      <c r="E392" s="49">
        <f>IFERROR(VLOOKUP(D392,'Stock Master'!$A$2:$L$49,2,FALSE),"")</f>
        <v/>
      </c>
      <c r="F392" s="49" t="n"/>
      <c r="G392" s="51">
        <f>IFERROR(VLOOKUP(D392,'Stock Master'!$A$2:$L$49,5,FALSE)*F392,0)</f>
        <v/>
      </c>
      <c r="H392" s="51" t="n"/>
      <c r="I392" s="52" t="n"/>
      <c r="J392" s="51">
        <f>IFERROR(G392-H392,0)</f>
        <v/>
      </c>
      <c r="K392" s="52" t="n"/>
      <c r="L392" s="49">
        <f>IF(A392="","",IF(J392&lt;=0,"Paid",IF(AND(K392&lt;TODAY(),K392&lt;&gt;""),"Overdue","Open")))</f>
        <v/>
      </c>
      <c r="M392" s="49" t="n"/>
    </row>
    <row r="393">
      <c r="A393" s="52" t="n"/>
      <c r="B393" s="49" t="n"/>
      <c r="C393" s="49" t="n"/>
      <c r="D393" s="49" t="n"/>
      <c r="E393" s="49">
        <f>IFERROR(VLOOKUP(D393,'Stock Master'!$A$2:$L$49,2,FALSE),"")</f>
        <v/>
      </c>
      <c r="F393" s="49" t="n"/>
      <c r="G393" s="51">
        <f>IFERROR(VLOOKUP(D393,'Stock Master'!$A$2:$L$49,5,FALSE)*F393,0)</f>
        <v/>
      </c>
      <c r="H393" s="51" t="n"/>
      <c r="I393" s="52" t="n"/>
      <c r="J393" s="51">
        <f>IFERROR(G393-H393,0)</f>
        <v/>
      </c>
      <c r="K393" s="52" t="n"/>
      <c r="L393" s="49">
        <f>IF(A393="","",IF(J393&lt;=0,"Paid",IF(AND(K393&lt;TODAY(),K393&lt;&gt;""),"Overdue","Open")))</f>
        <v/>
      </c>
      <c r="M393" s="49" t="n"/>
    </row>
    <row r="394">
      <c r="A394" s="52" t="n"/>
      <c r="B394" s="49" t="n"/>
      <c r="C394" s="49" t="n"/>
      <c r="D394" s="49" t="n"/>
      <c r="E394" s="49">
        <f>IFERROR(VLOOKUP(D394,'Stock Master'!$A$2:$L$49,2,FALSE),"")</f>
        <v/>
      </c>
      <c r="F394" s="49" t="n"/>
      <c r="G394" s="51">
        <f>IFERROR(VLOOKUP(D394,'Stock Master'!$A$2:$L$49,5,FALSE)*F394,0)</f>
        <v/>
      </c>
      <c r="H394" s="51" t="n"/>
      <c r="I394" s="52" t="n"/>
      <c r="J394" s="51">
        <f>IFERROR(G394-H394,0)</f>
        <v/>
      </c>
      <c r="K394" s="52" t="n"/>
      <c r="L394" s="49">
        <f>IF(A394="","",IF(J394&lt;=0,"Paid",IF(AND(K394&lt;TODAY(),K394&lt;&gt;""),"Overdue","Open")))</f>
        <v/>
      </c>
      <c r="M394" s="49" t="n"/>
    </row>
    <row r="395">
      <c r="A395" s="52" t="n"/>
      <c r="B395" s="49" t="n"/>
      <c r="C395" s="49" t="n"/>
      <c r="D395" s="49" t="n"/>
      <c r="E395" s="49">
        <f>IFERROR(VLOOKUP(D395,'Stock Master'!$A$2:$L$49,2,FALSE),"")</f>
        <v/>
      </c>
      <c r="F395" s="49" t="n"/>
      <c r="G395" s="51">
        <f>IFERROR(VLOOKUP(D395,'Stock Master'!$A$2:$L$49,5,FALSE)*F395,0)</f>
        <v/>
      </c>
      <c r="H395" s="51" t="n"/>
      <c r="I395" s="52" t="n"/>
      <c r="J395" s="51">
        <f>IFERROR(G395-H395,0)</f>
        <v/>
      </c>
      <c r="K395" s="52" t="n"/>
      <c r="L395" s="49">
        <f>IF(A395="","",IF(J395&lt;=0,"Paid",IF(AND(K395&lt;TODAY(),K395&lt;&gt;""),"Overdue","Open")))</f>
        <v/>
      </c>
      <c r="M395" s="49" t="n"/>
    </row>
    <row r="396">
      <c r="A396" s="52" t="n"/>
      <c r="B396" s="49" t="n"/>
      <c r="C396" s="49" t="n"/>
      <c r="D396" s="49" t="n"/>
      <c r="E396" s="49">
        <f>IFERROR(VLOOKUP(D396,'Stock Master'!$A$2:$L$49,2,FALSE),"")</f>
        <v/>
      </c>
      <c r="F396" s="49" t="n"/>
      <c r="G396" s="51">
        <f>IFERROR(VLOOKUP(D396,'Stock Master'!$A$2:$L$49,5,FALSE)*F396,0)</f>
        <v/>
      </c>
      <c r="H396" s="51" t="n"/>
      <c r="I396" s="52" t="n"/>
      <c r="J396" s="51">
        <f>IFERROR(G396-H396,0)</f>
        <v/>
      </c>
      <c r="K396" s="52" t="n"/>
      <c r="L396" s="49">
        <f>IF(A396="","",IF(J396&lt;=0,"Paid",IF(AND(K396&lt;TODAY(),K396&lt;&gt;""),"Overdue","Open")))</f>
        <v/>
      </c>
      <c r="M396" s="49" t="n"/>
    </row>
    <row r="397">
      <c r="A397" s="52" t="n"/>
      <c r="B397" s="49" t="n"/>
      <c r="C397" s="49" t="n"/>
      <c r="D397" s="49" t="n"/>
      <c r="E397" s="49">
        <f>IFERROR(VLOOKUP(D397,'Stock Master'!$A$2:$L$49,2,FALSE),"")</f>
        <v/>
      </c>
      <c r="F397" s="49" t="n"/>
      <c r="G397" s="51">
        <f>IFERROR(VLOOKUP(D397,'Stock Master'!$A$2:$L$49,5,FALSE)*F397,0)</f>
        <v/>
      </c>
      <c r="H397" s="51" t="n"/>
      <c r="I397" s="52" t="n"/>
      <c r="J397" s="51">
        <f>IFERROR(G397-H397,0)</f>
        <v/>
      </c>
      <c r="K397" s="52" t="n"/>
      <c r="L397" s="49">
        <f>IF(A397="","",IF(J397&lt;=0,"Paid",IF(AND(K397&lt;TODAY(),K397&lt;&gt;""),"Overdue","Open")))</f>
        <v/>
      </c>
      <c r="M397" s="49" t="n"/>
    </row>
    <row r="398">
      <c r="A398" s="52" t="n"/>
      <c r="B398" s="49" t="n"/>
      <c r="C398" s="49" t="n"/>
      <c r="D398" s="49" t="n"/>
      <c r="E398" s="49">
        <f>IFERROR(VLOOKUP(D398,'Stock Master'!$A$2:$L$49,2,FALSE),"")</f>
        <v/>
      </c>
      <c r="F398" s="49" t="n"/>
      <c r="G398" s="51">
        <f>IFERROR(VLOOKUP(D398,'Stock Master'!$A$2:$L$49,5,FALSE)*F398,0)</f>
        <v/>
      </c>
      <c r="H398" s="51" t="n"/>
      <c r="I398" s="52" t="n"/>
      <c r="J398" s="51">
        <f>IFERROR(G398-H398,0)</f>
        <v/>
      </c>
      <c r="K398" s="52" t="n"/>
      <c r="L398" s="49">
        <f>IF(A398="","",IF(J398&lt;=0,"Paid",IF(AND(K398&lt;TODAY(),K398&lt;&gt;""),"Overdue","Open")))</f>
        <v/>
      </c>
      <c r="M398" s="49" t="n"/>
    </row>
    <row r="399">
      <c r="A399" s="52" t="n"/>
      <c r="B399" s="49" t="n"/>
      <c r="C399" s="49" t="n"/>
      <c r="D399" s="49" t="n"/>
      <c r="E399" s="49">
        <f>IFERROR(VLOOKUP(D399,'Stock Master'!$A$2:$L$49,2,FALSE),"")</f>
        <v/>
      </c>
      <c r="F399" s="49" t="n"/>
      <c r="G399" s="51">
        <f>IFERROR(VLOOKUP(D399,'Stock Master'!$A$2:$L$49,5,FALSE)*F399,0)</f>
        <v/>
      </c>
      <c r="H399" s="51" t="n"/>
      <c r="I399" s="52" t="n"/>
      <c r="J399" s="51">
        <f>IFERROR(G399-H399,0)</f>
        <v/>
      </c>
      <c r="K399" s="52" t="n"/>
      <c r="L399" s="49">
        <f>IF(A399="","",IF(J399&lt;=0,"Paid",IF(AND(K399&lt;TODAY(),K399&lt;&gt;""),"Overdue","Open")))</f>
        <v/>
      </c>
      <c r="M399" s="49" t="n"/>
    </row>
    <row r="400">
      <c r="A400" s="52" t="n"/>
      <c r="B400" s="49" t="n"/>
      <c r="C400" s="49" t="n"/>
      <c r="D400" s="49" t="n"/>
      <c r="E400" s="49">
        <f>IFERROR(VLOOKUP(D400,'Stock Master'!$A$2:$L$49,2,FALSE),"")</f>
        <v/>
      </c>
      <c r="F400" s="49" t="n"/>
      <c r="G400" s="51">
        <f>IFERROR(VLOOKUP(D400,'Stock Master'!$A$2:$L$49,5,FALSE)*F400,0)</f>
        <v/>
      </c>
      <c r="H400" s="51" t="n"/>
      <c r="I400" s="52" t="n"/>
      <c r="J400" s="51">
        <f>IFERROR(G400-H400,0)</f>
        <v/>
      </c>
      <c r="K400" s="52" t="n"/>
      <c r="L400" s="49">
        <f>IF(A400="","",IF(J400&lt;=0,"Paid",IF(AND(K400&lt;TODAY(),K400&lt;&gt;""),"Overdue","Open")))</f>
        <v/>
      </c>
      <c r="M400" s="49" t="n"/>
    </row>
    <row r="401">
      <c r="A401" s="52" t="n"/>
      <c r="B401" s="49" t="n"/>
      <c r="C401" s="49" t="n"/>
      <c r="D401" s="49" t="n"/>
      <c r="E401" s="49">
        <f>IFERROR(VLOOKUP(D401,'Stock Master'!$A$2:$L$49,2,FALSE),"")</f>
        <v/>
      </c>
      <c r="F401" s="49" t="n"/>
      <c r="G401" s="51">
        <f>IFERROR(VLOOKUP(D401,'Stock Master'!$A$2:$L$49,5,FALSE)*F401,0)</f>
        <v/>
      </c>
      <c r="H401" s="51" t="n"/>
      <c r="I401" s="52" t="n"/>
      <c r="J401" s="51">
        <f>IFERROR(G401-H401,0)</f>
        <v/>
      </c>
      <c r="K401" s="52" t="n"/>
      <c r="L401" s="49">
        <f>IF(A401="","",IF(J401&lt;=0,"Paid",IF(AND(K401&lt;TODAY(),K401&lt;&gt;""),"Overdue","Open")))</f>
        <v/>
      </c>
      <c r="M401" s="49" t="n"/>
    </row>
    <row r="402">
      <c r="A402" s="52" t="n"/>
      <c r="B402" s="49" t="n"/>
      <c r="C402" s="49" t="n"/>
      <c r="D402" s="49" t="n"/>
      <c r="E402" s="49">
        <f>IFERROR(VLOOKUP(D402,'Stock Master'!$A$2:$L$49,2,FALSE),"")</f>
        <v/>
      </c>
      <c r="F402" s="49" t="n"/>
      <c r="G402" s="51">
        <f>IFERROR(VLOOKUP(D402,'Stock Master'!$A$2:$L$49,5,FALSE)*F402,0)</f>
        <v/>
      </c>
      <c r="H402" s="51" t="n"/>
      <c r="I402" s="52" t="n"/>
      <c r="J402" s="51">
        <f>IFERROR(G402-H402,0)</f>
        <v/>
      </c>
      <c r="K402" s="52" t="n"/>
      <c r="L402" s="49">
        <f>IF(A402="","",IF(J402&lt;=0,"Paid",IF(AND(K402&lt;TODAY(),K402&lt;&gt;""),"Overdue","Open")))</f>
        <v/>
      </c>
      <c r="M402" s="49" t="n"/>
    </row>
    <row r="403">
      <c r="A403" s="52" t="n"/>
      <c r="B403" s="49" t="n"/>
      <c r="C403" s="49" t="n"/>
      <c r="D403" s="49" t="n"/>
      <c r="E403" s="49">
        <f>IFERROR(VLOOKUP(D403,'Stock Master'!$A$2:$L$49,2,FALSE),"")</f>
        <v/>
      </c>
      <c r="F403" s="49" t="n"/>
      <c r="G403" s="51">
        <f>IFERROR(VLOOKUP(D403,'Stock Master'!$A$2:$L$49,5,FALSE)*F403,0)</f>
        <v/>
      </c>
      <c r="H403" s="51" t="n"/>
      <c r="I403" s="52" t="n"/>
      <c r="J403" s="51">
        <f>IFERROR(G403-H403,0)</f>
        <v/>
      </c>
      <c r="K403" s="52" t="n"/>
      <c r="L403" s="49">
        <f>IF(A403="","",IF(J403&lt;=0,"Paid",IF(AND(K403&lt;TODAY(),K403&lt;&gt;""),"Overdue","Open")))</f>
        <v/>
      </c>
      <c r="M403" s="49" t="n"/>
    </row>
    <row r="404">
      <c r="A404" s="52" t="n"/>
      <c r="B404" s="49" t="n"/>
      <c r="C404" s="49" t="n"/>
      <c r="D404" s="49" t="n"/>
      <c r="E404" s="49">
        <f>IFERROR(VLOOKUP(D404,'Stock Master'!$A$2:$L$49,2,FALSE),"")</f>
        <v/>
      </c>
      <c r="F404" s="49" t="n"/>
      <c r="G404" s="51">
        <f>IFERROR(VLOOKUP(D404,'Stock Master'!$A$2:$L$49,5,FALSE)*F404,0)</f>
        <v/>
      </c>
      <c r="H404" s="51" t="n"/>
      <c r="I404" s="52" t="n"/>
      <c r="J404" s="51">
        <f>IFERROR(G404-H404,0)</f>
        <v/>
      </c>
      <c r="K404" s="52" t="n"/>
      <c r="L404" s="49">
        <f>IF(A404="","",IF(J404&lt;=0,"Paid",IF(AND(K404&lt;TODAY(),K404&lt;&gt;""),"Overdue","Open")))</f>
        <v/>
      </c>
      <c r="M404" s="49" t="n"/>
    </row>
    <row r="405">
      <c r="A405" s="52" t="n"/>
      <c r="B405" s="49" t="n"/>
      <c r="C405" s="49" t="n"/>
      <c r="D405" s="49" t="n"/>
      <c r="E405" s="49">
        <f>IFERROR(VLOOKUP(D405,'Stock Master'!$A$2:$L$49,2,FALSE),"")</f>
        <v/>
      </c>
      <c r="F405" s="49" t="n"/>
      <c r="G405" s="51">
        <f>IFERROR(VLOOKUP(D405,'Stock Master'!$A$2:$L$49,5,FALSE)*F405,0)</f>
        <v/>
      </c>
      <c r="H405" s="51" t="n"/>
      <c r="I405" s="52" t="n"/>
      <c r="J405" s="51">
        <f>IFERROR(G405-H405,0)</f>
        <v/>
      </c>
      <c r="K405" s="52" t="n"/>
      <c r="L405" s="49">
        <f>IF(A405="","",IF(J405&lt;=0,"Paid",IF(AND(K405&lt;TODAY(),K405&lt;&gt;""),"Overdue","Open")))</f>
        <v/>
      </c>
      <c r="M405" s="49" t="n"/>
    </row>
    <row r="406">
      <c r="A406" s="52" t="n"/>
      <c r="B406" s="49" t="n"/>
      <c r="C406" s="49" t="n"/>
      <c r="D406" s="49" t="n"/>
      <c r="E406" s="49">
        <f>IFERROR(VLOOKUP(D406,'Stock Master'!$A$2:$L$49,2,FALSE),"")</f>
        <v/>
      </c>
      <c r="F406" s="49" t="n"/>
      <c r="G406" s="51">
        <f>IFERROR(VLOOKUP(D406,'Stock Master'!$A$2:$L$49,5,FALSE)*F406,0)</f>
        <v/>
      </c>
      <c r="H406" s="51" t="n"/>
      <c r="I406" s="52" t="n"/>
      <c r="J406" s="51">
        <f>IFERROR(G406-H406,0)</f>
        <v/>
      </c>
      <c r="K406" s="52" t="n"/>
      <c r="L406" s="49">
        <f>IF(A406="","",IF(J406&lt;=0,"Paid",IF(AND(K406&lt;TODAY(),K406&lt;&gt;""),"Overdue","Open")))</f>
        <v/>
      </c>
      <c r="M406" s="49" t="n"/>
    </row>
    <row r="407">
      <c r="A407" s="52" t="n"/>
      <c r="B407" s="49" t="n"/>
      <c r="C407" s="49" t="n"/>
      <c r="D407" s="49" t="n"/>
      <c r="E407" s="49">
        <f>IFERROR(VLOOKUP(D407,'Stock Master'!$A$2:$L$49,2,FALSE),"")</f>
        <v/>
      </c>
      <c r="F407" s="49" t="n"/>
      <c r="G407" s="51">
        <f>IFERROR(VLOOKUP(D407,'Stock Master'!$A$2:$L$49,5,FALSE)*F407,0)</f>
        <v/>
      </c>
      <c r="H407" s="51" t="n"/>
      <c r="I407" s="52" t="n"/>
      <c r="J407" s="51">
        <f>IFERROR(G407-H407,0)</f>
        <v/>
      </c>
      <c r="K407" s="52" t="n"/>
      <c r="L407" s="49">
        <f>IF(A407="","",IF(J407&lt;=0,"Paid",IF(AND(K407&lt;TODAY(),K407&lt;&gt;""),"Overdue","Open")))</f>
        <v/>
      </c>
      <c r="M407" s="49" t="n"/>
    </row>
    <row r="408">
      <c r="A408" s="52" t="n"/>
      <c r="B408" s="49" t="n"/>
      <c r="C408" s="49" t="n"/>
      <c r="D408" s="49" t="n"/>
      <c r="E408" s="49">
        <f>IFERROR(VLOOKUP(D408,'Stock Master'!$A$2:$L$49,2,FALSE),"")</f>
        <v/>
      </c>
      <c r="F408" s="49" t="n"/>
      <c r="G408" s="51">
        <f>IFERROR(VLOOKUP(D408,'Stock Master'!$A$2:$L$49,5,FALSE)*F408,0)</f>
        <v/>
      </c>
      <c r="H408" s="51" t="n"/>
      <c r="I408" s="52" t="n"/>
      <c r="J408" s="51">
        <f>IFERROR(G408-H408,0)</f>
        <v/>
      </c>
      <c r="K408" s="52" t="n"/>
      <c r="L408" s="49">
        <f>IF(A408="","",IF(J408&lt;=0,"Paid",IF(AND(K408&lt;TODAY(),K408&lt;&gt;""),"Overdue","Open")))</f>
        <v/>
      </c>
      <c r="M408" s="49" t="n"/>
    </row>
    <row r="409">
      <c r="A409" s="52" t="n"/>
      <c r="B409" s="49" t="n"/>
      <c r="C409" s="49" t="n"/>
      <c r="D409" s="49" t="n"/>
      <c r="E409" s="49">
        <f>IFERROR(VLOOKUP(D409,'Stock Master'!$A$2:$L$49,2,FALSE),"")</f>
        <v/>
      </c>
      <c r="F409" s="49" t="n"/>
      <c r="G409" s="51">
        <f>IFERROR(VLOOKUP(D409,'Stock Master'!$A$2:$L$49,5,FALSE)*F409,0)</f>
        <v/>
      </c>
      <c r="H409" s="51" t="n"/>
      <c r="I409" s="52" t="n"/>
      <c r="J409" s="51">
        <f>IFERROR(G409-H409,0)</f>
        <v/>
      </c>
      <c r="K409" s="52" t="n"/>
      <c r="L409" s="49">
        <f>IF(A409="","",IF(J409&lt;=0,"Paid",IF(AND(K409&lt;TODAY(),K409&lt;&gt;""),"Overdue","Open")))</f>
        <v/>
      </c>
      <c r="M409" s="49" t="n"/>
    </row>
    <row r="410">
      <c r="A410" s="52" t="n"/>
      <c r="B410" s="49" t="n"/>
      <c r="C410" s="49" t="n"/>
      <c r="D410" s="49" t="n"/>
      <c r="E410" s="49">
        <f>IFERROR(VLOOKUP(D410,'Stock Master'!$A$2:$L$49,2,FALSE),"")</f>
        <v/>
      </c>
      <c r="F410" s="49" t="n"/>
      <c r="G410" s="51">
        <f>IFERROR(VLOOKUP(D410,'Stock Master'!$A$2:$L$49,5,FALSE)*F410,0)</f>
        <v/>
      </c>
      <c r="H410" s="51" t="n"/>
      <c r="I410" s="52" t="n"/>
      <c r="J410" s="51">
        <f>IFERROR(G410-H410,0)</f>
        <v/>
      </c>
      <c r="K410" s="52" t="n"/>
      <c r="L410" s="49">
        <f>IF(A410="","",IF(J410&lt;=0,"Paid",IF(AND(K410&lt;TODAY(),K410&lt;&gt;""),"Overdue","Open")))</f>
        <v/>
      </c>
      <c r="M410" s="49" t="n"/>
    </row>
    <row r="411">
      <c r="A411" s="52" t="n"/>
      <c r="B411" s="49" t="n"/>
      <c r="C411" s="49" t="n"/>
      <c r="D411" s="49" t="n"/>
      <c r="E411" s="49">
        <f>IFERROR(VLOOKUP(D411,'Stock Master'!$A$2:$L$49,2,FALSE),"")</f>
        <v/>
      </c>
      <c r="F411" s="49" t="n"/>
      <c r="G411" s="51">
        <f>IFERROR(VLOOKUP(D411,'Stock Master'!$A$2:$L$49,5,FALSE)*F411,0)</f>
        <v/>
      </c>
      <c r="H411" s="51" t="n"/>
      <c r="I411" s="52" t="n"/>
      <c r="J411" s="51">
        <f>IFERROR(G411-H411,0)</f>
        <v/>
      </c>
      <c r="K411" s="52" t="n"/>
      <c r="L411" s="49">
        <f>IF(A411="","",IF(J411&lt;=0,"Paid",IF(AND(K411&lt;TODAY(),K411&lt;&gt;""),"Overdue","Open")))</f>
        <v/>
      </c>
      <c r="M411" s="49" t="n"/>
    </row>
    <row r="412">
      <c r="A412" s="52" t="n"/>
      <c r="B412" s="49" t="n"/>
      <c r="C412" s="49" t="n"/>
      <c r="D412" s="49" t="n"/>
      <c r="E412" s="49">
        <f>IFERROR(VLOOKUP(D412,'Stock Master'!$A$2:$L$49,2,FALSE),"")</f>
        <v/>
      </c>
      <c r="F412" s="49" t="n"/>
      <c r="G412" s="51">
        <f>IFERROR(VLOOKUP(D412,'Stock Master'!$A$2:$L$49,5,FALSE)*F412,0)</f>
        <v/>
      </c>
      <c r="H412" s="51" t="n"/>
      <c r="I412" s="52" t="n"/>
      <c r="J412" s="51">
        <f>IFERROR(G412-H412,0)</f>
        <v/>
      </c>
      <c r="K412" s="52" t="n"/>
      <c r="L412" s="49">
        <f>IF(A412="","",IF(J412&lt;=0,"Paid",IF(AND(K412&lt;TODAY(),K412&lt;&gt;""),"Overdue","Open")))</f>
        <v/>
      </c>
      <c r="M412" s="49" t="n"/>
    </row>
    <row r="413">
      <c r="A413" s="52" t="n"/>
      <c r="B413" s="49" t="n"/>
      <c r="C413" s="49" t="n"/>
      <c r="D413" s="49" t="n"/>
      <c r="E413" s="49">
        <f>IFERROR(VLOOKUP(D413,'Stock Master'!$A$2:$L$49,2,FALSE),"")</f>
        <v/>
      </c>
      <c r="F413" s="49" t="n"/>
      <c r="G413" s="51">
        <f>IFERROR(VLOOKUP(D413,'Stock Master'!$A$2:$L$49,5,FALSE)*F413,0)</f>
        <v/>
      </c>
      <c r="H413" s="51" t="n"/>
      <c r="I413" s="52" t="n"/>
      <c r="J413" s="51">
        <f>IFERROR(G413-H413,0)</f>
        <v/>
      </c>
      <c r="K413" s="52" t="n"/>
      <c r="L413" s="49">
        <f>IF(A413="","",IF(J413&lt;=0,"Paid",IF(AND(K413&lt;TODAY(),K413&lt;&gt;""),"Overdue","Open")))</f>
        <v/>
      </c>
      <c r="M413" s="49" t="n"/>
    </row>
    <row r="414">
      <c r="A414" s="52" t="n"/>
      <c r="B414" s="49" t="n"/>
      <c r="C414" s="49" t="n"/>
      <c r="D414" s="49" t="n"/>
      <c r="E414" s="49">
        <f>IFERROR(VLOOKUP(D414,'Stock Master'!$A$2:$L$49,2,FALSE),"")</f>
        <v/>
      </c>
      <c r="F414" s="49" t="n"/>
      <c r="G414" s="51">
        <f>IFERROR(VLOOKUP(D414,'Stock Master'!$A$2:$L$49,5,FALSE)*F414,0)</f>
        <v/>
      </c>
      <c r="H414" s="51" t="n"/>
      <c r="I414" s="52" t="n"/>
      <c r="J414" s="51">
        <f>IFERROR(G414-H414,0)</f>
        <v/>
      </c>
      <c r="K414" s="52" t="n"/>
      <c r="L414" s="49">
        <f>IF(A414="","",IF(J414&lt;=0,"Paid",IF(AND(K414&lt;TODAY(),K414&lt;&gt;""),"Overdue","Open")))</f>
        <v/>
      </c>
      <c r="M414" s="49" t="n"/>
    </row>
    <row r="415">
      <c r="A415" s="52" t="n"/>
      <c r="B415" s="49" t="n"/>
      <c r="C415" s="49" t="n"/>
      <c r="D415" s="49" t="n"/>
      <c r="E415" s="49">
        <f>IFERROR(VLOOKUP(D415,'Stock Master'!$A$2:$L$49,2,FALSE),"")</f>
        <v/>
      </c>
      <c r="F415" s="49" t="n"/>
      <c r="G415" s="51">
        <f>IFERROR(VLOOKUP(D415,'Stock Master'!$A$2:$L$49,5,FALSE)*F415,0)</f>
        <v/>
      </c>
      <c r="H415" s="51" t="n"/>
      <c r="I415" s="52" t="n"/>
      <c r="J415" s="51">
        <f>IFERROR(G415-H415,0)</f>
        <v/>
      </c>
      <c r="K415" s="52" t="n"/>
      <c r="L415" s="49">
        <f>IF(A415="","",IF(J415&lt;=0,"Paid",IF(AND(K415&lt;TODAY(),K415&lt;&gt;""),"Overdue","Open")))</f>
        <v/>
      </c>
      <c r="M415" s="49" t="n"/>
    </row>
    <row r="416">
      <c r="A416" s="52" t="n"/>
      <c r="B416" s="49" t="n"/>
      <c r="C416" s="49" t="n"/>
      <c r="D416" s="49" t="n"/>
      <c r="E416" s="49">
        <f>IFERROR(VLOOKUP(D416,'Stock Master'!$A$2:$L$49,2,FALSE),"")</f>
        <v/>
      </c>
      <c r="F416" s="49" t="n"/>
      <c r="G416" s="51">
        <f>IFERROR(VLOOKUP(D416,'Stock Master'!$A$2:$L$49,5,FALSE)*F416,0)</f>
        <v/>
      </c>
      <c r="H416" s="51" t="n"/>
      <c r="I416" s="52" t="n"/>
      <c r="J416" s="51">
        <f>IFERROR(G416-H416,0)</f>
        <v/>
      </c>
      <c r="K416" s="52" t="n"/>
      <c r="L416" s="49">
        <f>IF(A416="","",IF(J416&lt;=0,"Paid",IF(AND(K416&lt;TODAY(),K416&lt;&gt;""),"Overdue","Open")))</f>
        <v/>
      </c>
      <c r="M416" s="49" t="n"/>
    </row>
    <row r="417">
      <c r="A417" s="52" t="n"/>
      <c r="B417" s="49" t="n"/>
      <c r="C417" s="49" t="n"/>
      <c r="D417" s="49" t="n"/>
      <c r="E417" s="49">
        <f>IFERROR(VLOOKUP(D417,'Stock Master'!$A$2:$L$49,2,FALSE),"")</f>
        <v/>
      </c>
      <c r="F417" s="49" t="n"/>
      <c r="G417" s="51">
        <f>IFERROR(VLOOKUP(D417,'Stock Master'!$A$2:$L$49,5,FALSE)*F417,0)</f>
        <v/>
      </c>
      <c r="H417" s="51" t="n"/>
      <c r="I417" s="52" t="n"/>
      <c r="J417" s="51">
        <f>IFERROR(G417-H417,0)</f>
        <v/>
      </c>
      <c r="K417" s="52" t="n"/>
      <c r="L417" s="49">
        <f>IF(A417="","",IF(J417&lt;=0,"Paid",IF(AND(K417&lt;TODAY(),K417&lt;&gt;""),"Overdue","Open")))</f>
        <v/>
      </c>
      <c r="M417" s="49" t="n"/>
    </row>
    <row r="418">
      <c r="A418" s="52" t="n"/>
      <c r="B418" s="49" t="n"/>
      <c r="C418" s="49" t="n"/>
      <c r="D418" s="49" t="n"/>
      <c r="E418" s="49">
        <f>IFERROR(VLOOKUP(D418,'Stock Master'!$A$2:$L$49,2,FALSE),"")</f>
        <v/>
      </c>
      <c r="F418" s="49" t="n"/>
      <c r="G418" s="51">
        <f>IFERROR(VLOOKUP(D418,'Stock Master'!$A$2:$L$49,5,FALSE)*F418,0)</f>
        <v/>
      </c>
      <c r="H418" s="51" t="n"/>
      <c r="I418" s="52" t="n"/>
      <c r="J418" s="51">
        <f>IFERROR(G418-H418,0)</f>
        <v/>
      </c>
      <c r="K418" s="52" t="n"/>
      <c r="L418" s="49">
        <f>IF(A418="","",IF(J418&lt;=0,"Paid",IF(AND(K418&lt;TODAY(),K418&lt;&gt;""),"Overdue","Open")))</f>
        <v/>
      </c>
      <c r="M418" s="49" t="n"/>
    </row>
    <row r="419">
      <c r="A419" s="52" t="n"/>
      <c r="B419" s="49" t="n"/>
      <c r="C419" s="49" t="n"/>
      <c r="D419" s="49" t="n"/>
      <c r="E419" s="49">
        <f>IFERROR(VLOOKUP(D419,'Stock Master'!$A$2:$L$49,2,FALSE),"")</f>
        <v/>
      </c>
      <c r="F419" s="49" t="n"/>
      <c r="G419" s="51">
        <f>IFERROR(VLOOKUP(D419,'Stock Master'!$A$2:$L$49,5,FALSE)*F419,0)</f>
        <v/>
      </c>
      <c r="H419" s="51" t="n"/>
      <c r="I419" s="52" t="n"/>
      <c r="J419" s="51">
        <f>IFERROR(G419-H419,0)</f>
        <v/>
      </c>
      <c r="K419" s="52" t="n"/>
      <c r="L419" s="49">
        <f>IF(A419="","",IF(J419&lt;=0,"Paid",IF(AND(K419&lt;TODAY(),K419&lt;&gt;""),"Overdue","Open")))</f>
        <v/>
      </c>
      <c r="M419" s="49" t="n"/>
    </row>
    <row r="420">
      <c r="A420" s="52" t="n"/>
      <c r="B420" s="49" t="n"/>
      <c r="C420" s="49" t="n"/>
      <c r="D420" s="49" t="n"/>
      <c r="E420" s="49">
        <f>IFERROR(VLOOKUP(D420,'Stock Master'!$A$2:$L$49,2,FALSE),"")</f>
        <v/>
      </c>
      <c r="F420" s="49" t="n"/>
      <c r="G420" s="51">
        <f>IFERROR(VLOOKUP(D420,'Stock Master'!$A$2:$L$49,5,FALSE)*F420,0)</f>
        <v/>
      </c>
      <c r="H420" s="51" t="n"/>
      <c r="I420" s="52" t="n"/>
      <c r="J420" s="51">
        <f>IFERROR(G420-H420,0)</f>
        <v/>
      </c>
      <c r="K420" s="52" t="n"/>
      <c r="L420" s="49">
        <f>IF(A420="","",IF(J420&lt;=0,"Paid",IF(AND(K420&lt;TODAY(),K420&lt;&gt;""),"Overdue","Open")))</f>
        <v/>
      </c>
      <c r="M420" s="49" t="n"/>
    </row>
    <row r="421">
      <c r="A421" s="52" t="n"/>
      <c r="B421" s="49" t="n"/>
      <c r="C421" s="49" t="n"/>
      <c r="D421" s="49" t="n"/>
      <c r="E421" s="49">
        <f>IFERROR(VLOOKUP(D421,'Stock Master'!$A$2:$L$49,2,FALSE),"")</f>
        <v/>
      </c>
      <c r="F421" s="49" t="n"/>
      <c r="G421" s="51">
        <f>IFERROR(VLOOKUP(D421,'Stock Master'!$A$2:$L$49,5,FALSE)*F421,0)</f>
        <v/>
      </c>
      <c r="H421" s="51" t="n"/>
      <c r="I421" s="52" t="n"/>
      <c r="J421" s="51">
        <f>IFERROR(G421-H421,0)</f>
        <v/>
      </c>
      <c r="K421" s="52" t="n"/>
      <c r="L421" s="49">
        <f>IF(A421="","",IF(J421&lt;=0,"Paid",IF(AND(K421&lt;TODAY(),K421&lt;&gt;""),"Overdue","Open")))</f>
        <v/>
      </c>
      <c r="M421" s="49" t="n"/>
    </row>
    <row r="422">
      <c r="A422" s="52" t="n"/>
      <c r="B422" s="49" t="n"/>
      <c r="C422" s="49" t="n"/>
      <c r="D422" s="49" t="n"/>
      <c r="E422" s="49">
        <f>IFERROR(VLOOKUP(D422,'Stock Master'!$A$2:$L$49,2,FALSE),"")</f>
        <v/>
      </c>
      <c r="F422" s="49" t="n"/>
      <c r="G422" s="51">
        <f>IFERROR(VLOOKUP(D422,'Stock Master'!$A$2:$L$49,5,FALSE)*F422,0)</f>
        <v/>
      </c>
      <c r="H422" s="51" t="n"/>
      <c r="I422" s="52" t="n"/>
      <c r="J422" s="51">
        <f>IFERROR(G422-H422,0)</f>
        <v/>
      </c>
      <c r="K422" s="52" t="n"/>
      <c r="L422" s="49">
        <f>IF(A422="","",IF(J422&lt;=0,"Paid",IF(AND(K422&lt;TODAY(),K422&lt;&gt;""),"Overdue","Open")))</f>
        <v/>
      </c>
      <c r="M422" s="49" t="n"/>
    </row>
    <row r="423">
      <c r="A423" s="52" t="n"/>
      <c r="B423" s="49" t="n"/>
      <c r="C423" s="49" t="n"/>
      <c r="D423" s="49" t="n"/>
      <c r="E423" s="49">
        <f>IFERROR(VLOOKUP(D423,'Stock Master'!$A$2:$L$49,2,FALSE),"")</f>
        <v/>
      </c>
      <c r="F423" s="49" t="n"/>
      <c r="G423" s="51">
        <f>IFERROR(VLOOKUP(D423,'Stock Master'!$A$2:$L$49,5,FALSE)*F423,0)</f>
        <v/>
      </c>
      <c r="H423" s="51" t="n"/>
      <c r="I423" s="52" t="n"/>
      <c r="J423" s="51">
        <f>IFERROR(G423-H423,0)</f>
        <v/>
      </c>
      <c r="K423" s="52" t="n"/>
      <c r="L423" s="49">
        <f>IF(A423="","",IF(J423&lt;=0,"Paid",IF(AND(K423&lt;TODAY(),K423&lt;&gt;""),"Overdue","Open")))</f>
        <v/>
      </c>
      <c r="M423" s="49" t="n"/>
    </row>
    <row r="424">
      <c r="A424" s="52" t="n"/>
      <c r="B424" s="49" t="n"/>
      <c r="C424" s="49" t="n"/>
      <c r="D424" s="49" t="n"/>
      <c r="E424" s="49">
        <f>IFERROR(VLOOKUP(D424,'Stock Master'!$A$2:$L$49,2,FALSE),"")</f>
        <v/>
      </c>
      <c r="F424" s="49" t="n"/>
      <c r="G424" s="51">
        <f>IFERROR(VLOOKUP(D424,'Stock Master'!$A$2:$L$49,5,FALSE)*F424,0)</f>
        <v/>
      </c>
      <c r="H424" s="51" t="n"/>
      <c r="I424" s="52" t="n"/>
      <c r="J424" s="51">
        <f>IFERROR(G424-H424,0)</f>
        <v/>
      </c>
      <c r="K424" s="52" t="n"/>
      <c r="L424" s="49">
        <f>IF(A424="","",IF(J424&lt;=0,"Paid",IF(AND(K424&lt;TODAY(),K424&lt;&gt;""),"Overdue","Open")))</f>
        <v/>
      </c>
      <c r="M424" s="49" t="n"/>
    </row>
    <row r="425">
      <c r="A425" s="52" t="n"/>
      <c r="B425" s="49" t="n"/>
      <c r="C425" s="49" t="n"/>
      <c r="D425" s="49" t="n"/>
      <c r="E425" s="49">
        <f>IFERROR(VLOOKUP(D425,'Stock Master'!$A$2:$L$49,2,FALSE),"")</f>
        <v/>
      </c>
      <c r="F425" s="49" t="n"/>
      <c r="G425" s="51">
        <f>IFERROR(VLOOKUP(D425,'Stock Master'!$A$2:$L$49,5,FALSE)*F425,0)</f>
        <v/>
      </c>
      <c r="H425" s="51" t="n"/>
      <c r="I425" s="52" t="n"/>
      <c r="J425" s="51">
        <f>IFERROR(G425-H425,0)</f>
        <v/>
      </c>
      <c r="K425" s="52" t="n"/>
      <c r="L425" s="49">
        <f>IF(A425="","",IF(J425&lt;=0,"Paid",IF(AND(K425&lt;TODAY(),K425&lt;&gt;""),"Overdue","Open")))</f>
        <v/>
      </c>
      <c r="M425" s="49" t="n"/>
    </row>
    <row r="426">
      <c r="A426" s="52" t="n"/>
      <c r="B426" s="49" t="n"/>
      <c r="C426" s="49" t="n"/>
      <c r="D426" s="49" t="n"/>
      <c r="E426" s="49">
        <f>IFERROR(VLOOKUP(D426,'Stock Master'!$A$2:$L$49,2,FALSE),"")</f>
        <v/>
      </c>
      <c r="F426" s="49" t="n"/>
      <c r="G426" s="51">
        <f>IFERROR(VLOOKUP(D426,'Stock Master'!$A$2:$L$49,5,FALSE)*F426,0)</f>
        <v/>
      </c>
      <c r="H426" s="51" t="n"/>
      <c r="I426" s="52" t="n"/>
      <c r="J426" s="51">
        <f>IFERROR(G426-H426,0)</f>
        <v/>
      </c>
      <c r="K426" s="52" t="n"/>
      <c r="L426" s="49">
        <f>IF(A426="","",IF(J426&lt;=0,"Paid",IF(AND(K426&lt;TODAY(),K426&lt;&gt;""),"Overdue","Open")))</f>
        <v/>
      </c>
      <c r="M426" s="49" t="n"/>
    </row>
    <row r="427">
      <c r="A427" s="52" t="n"/>
      <c r="B427" s="49" t="n"/>
      <c r="C427" s="49" t="n"/>
      <c r="D427" s="49" t="n"/>
      <c r="E427" s="49">
        <f>IFERROR(VLOOKUP(D427,'Stock Master'!$A$2:$L$49,2,FALSE),"")</f>
        <v/>
      </c>
      <c r="F427" s="49" t="n"/>
      <c r="G427" s="51">
        <f>IFERROR(VLOOKUP(D427,'Stock Master'!$A$2:$L$49,5,FALSE)*F427,0)</f>
        <v/>
      </c>
      <c r="H427" s="51" t="n"/>
      <c r="I427" s="52" t="n"/>
      <c r="J427" s="51">
        <f>IFERROR(G427-H427,0)</f>
        <v/>
      </c>
      <c r="K427" s="52" t="n"/>
      <c r="L427" s="49">
        <f>IF(A427="","",IF(J427&lt;=0,"Paid",IF(AND(K427&lt;TODAY(),K427&lt;&gt;""),"Overdue","Open")))</f>
        <v/>
      </c>
      <c r="M427" s="49" t="n"/>
    </row>
    <row r="428">
      <c r="A428" s="52" t="n"/>
      <c r="B428" s="49" t="n"/>
      <c r="C428" s="49" t="n"/>
      <c r="D428" s="49" t="n"/>
      <c r="E428" s="49">
        <f>IFERROR(VLOOKUP(D428,'Stock Master'!$A$2:$L$49,2,FALSE),"")</f>
        <v/>
      </c>
      <c r="F428" s="49" t="n"/>
      <c r="G428" s="51">
        <f>IFERROR(VLOOKUP(D428,'Stock Master'!$A$2:$L$49,5,FALSE)*F428,0)</f>
        <v/>
      </c>
      <c r="H428" s="51" t="n"/>
      <c r="I428" s="52" t="n"/>
      <c r="J428" s="51">
        <f>IFERROR(G428-H428,0)</f>
        <v/>
      </c>
      <c r="K428" s="52" t="n"/>
      <c r="L428" s="49">
        <f>IF(A428="","",IF(J428&lt;=0,"Paid",IF(AND(K428&lt;TODAY(),K428&lt;&gt;""),"Overdue","Open")))</f>
        <v/>
      </c>
      <c r="M428" s="49" t="n"/>
    </row>
    <row r="429">
      <c r="A429" s="52" t="n"/>
      <c r="B429" s="49" t="n"/>
      <c r="C429" s="49" t="n"/>
      <c r="D429" s="49" t="n"/>
      <c r="E429" s="49">
        <f>IFERROR(VLOOKUP(D429,'Stock Master'!$A$2:$L$49,2,FALSE),"")</f>
        <v/>
      </c>
      <c r="F429" s="49" t="n"/>
      <c r="G429" s="51">
        <f>IFERROR(VLOOKUP(D429,'Stock Master'!$A$2:$L$49,5,FALSE)*F429,0)</f>
        <v/>
      </c>
      <c r="H429" s="51" t="n"/>
      <c r="I429" s="52" t="n"/>
      <c r="J429" s="51">
        <f>IFERROR(G429-H429,0)</f>
        <v/>
      </c>
      <c r="K429" s="52" t="n"/>
      <c r="L429" s="49">
        <f>IF(A429="","",IF(J429&lt;=0,"Paid",IF(AND(K429&lt;TODAY(),K429&lt;&gt;""),"Overdue","Open")))</f>
        <v/>
      </c>
      <c r="M429" s="49" t="n"/>
    </row>
    <row r="430">
      <c r="A430" s="52" t="n"/>
      <c r="B430" s="49" t="n"/>
      <c r="C430" s="49" t="n"/>
      <c r="D430" s="49" t="n"/>
      <c r="E430" s="49">
        <f>IFERROR(VLOOKUP(D430,'Stock Master'!$A$2:$L$49,2,FALSE),"")</f>
        <v/>
      </c>
      <c r="F430" s="49" t="n"/>
      <c r="G430" s="51">
        <f>IFERROR(VLOOKUP(D430,'Stock Master'!$A$2:$L$49,5,FALSE)*F430,0)</f>
        <v/>
      </c>
      <c r="H430" s="51" t="n"/>
      <c r="I430" s="52" t="n"/>
      <c r="J430" s="51">
        <f>IFERROR(G430-H430,0)</f>
        <v/>
      </c>
      <c r="K430" s="52" t="n"/>
      <c r="L430" s="49">
        <f>IF(A430="","",IF(J430&lt;=0,"Paid",IF(AND(K430&lt;TODAY(),K430&lt;&gt;""),"Overdue","Open")))</f>
        <v/>
      </c>
      <c r="M430" s="49" t="n"/>
    </row>
    <row r="431">
      <c r="A431" s="52" t="n"/>
      <c r="B431" s="49" t="n"/>
      <c r="C431" s="49" t="n"/>
      <c r="D431" s="49" t="n"/>
      <c r="E431" s="49">
        <f>IFERROR(VLOOKUP(D431,'Stock Master'!$A$2:$L$49,2,FALSE),"")</f>
        <v/>
      </c>
      <c r="F431" s="49" t="n"/>
      <c r="G431" s="51">
        <f>IFERROR(VLOOKUP(D431,'Stock Master'!$A$2:$L$49,5,FALSE)*F431,0)</f>
        <v/>
      </c>
      <c r="H431" s="51" t="n"/>
      <c r="I431" s="52" t="n"/>
      <c r="J431" s="51">
        <f>IFERROR(G431-H431,0)</f>
        <v/>
      </c>
      <c r="K431" s="52" t="n"/>
      <c r="L431" s="49">
        <f>IF(A431="","",IF(J431&lt;=0,"Paid",IF(AND(K431&lt;TODAY(),K431&lt;&gt;""),"Overdue","Open")))</f>
        <v/>
      </c>
      <c r="M431" s="49" t="n"/>
    </row>
    <row r="432">
      <c r="A432" s="52" t="n"/>
      <c r="B432" s="49" t="n"/>
      <c r="C432" s="49" t="n"/>
      <c r="D432" s="49" t="n"/>
      <c r="E432" s="49">
        <f>IFERROR(VLOOKUP(D432,'Stock Master'!$A$2:$L$49,2,FALSE),"")</f>
        <v/>
      </c>
      <c r="F432" s="49" t="n"/>
      <c r="G432" s="51">
        <f>IFERROR(VLOOKUP(D432,'Stock Master'!$A$2:$L$49,5,FALSE)*F432,0)</f>
        <v/>
      </c>
      <c r="H432" s="51" t="n"/>
      <c r="I432" s="52" t="n"/>
      <c r="J432" s="51">
        <f>IFERROR(G432-H432,0)</f>
        <v/>
      </c>
      <c r="K432" s="52" t="n"/>
      <c r="L432" s="49">
        <f>IF(A432="","",IF(J432&lt;=0,"Paid",IF(AND(K432&lt;TODAY(),K432&lt;&gt;""),"Overdue","Open")))</f>
        <v/>
      </c>
      <c r="M432" s="49" t="n"/>
    </row>
    <row r="433">
      <c r="A433" s="52" t="n"/>
      <c r="B433" s="49" t="n"/>
      <c r="C433" s="49" t="n"/>
      <c r="D433" s="49" t="n"/>
      <c r="E433" s="49">
        <f>IFERROR(VLOOKUP(D433,'Stock Master'!$A$2:$L$49,2,FALSE),"")</f>
        <v/>
      </c>
      <c r="F433" s="49" t="n"/>
      <c r="G433" s="51">
        <f>IFERROR(VLOOKUP(D433,'Stock Master'!$A$2:$L$49,5,FALSE)*F433,0)</f>
        <v/>
      </c>
      <c r="H433" s="51" t="n"/>
      <c r="I433" s="52" t="n"/>
      <c r="J433" s="51">
        <f>IFERROR(G433-H433,0)</f>
        <v/>
      </c>
      <c r="K433" s="52" t="n"/>
      <c r="L433" s="49">
        <f>IF(A433="","",IF(J433&lt;=0,"Paid",IF(AND(K433&lt;TODAY(),K433&lt;&gt;""),"Overdue","Open")))</f>
        <v/>
      </c>
      <c r="M433" s="49" t="n"/>
    </row>
    <row r="434">
      <c r="A434" s="52" t="n"/>
      <c r="B434" s="49" t="n"/>
      <c r="C434" s="49" t="n"/>
      <c r="D434" s="49" t="n"/>
      <c r="E434" s="49">
        <f>IFERROR(VLOOKUP(D434,'Stock Master'!$A$2:$L$49,2,FALSE),"")</f>
        <v/>
      </c>
      <c r="F434" s="49" t="n"/>
      <c r="G434" s="51">
        <f>IFERROR(VLOOKUP(D434,'Stock Master'!$A$2:$L$49,5,FALSE)*F434,0)</f>
        <v/>
      </c>
      <c r="H434" s="51" t="n"/>
      <c r="I434" s="52" t="n"/>
      <c r="J434" s="51">
        <f>IFERROR(G434-H434,0)</f>
        <v/>
      </c>
      <c r="K434" s="52" t="n"/>
      <c r="L434" s="49">
        <f>IF(A434="","",IF(J434&lt;=0,"Paid",IF(AND(K434&lt;TODAY(),K434&lt;&gt;""),"Overdue","Open")))</f>
        <v/>
      </c>
      <c r="M434" s="49" t="n"/>
    </row>
    <row r="435">
      <c r="A435" s="52" t="n"/>
      <c r="B435" s="49" t="n"/>
      <c r="C435" s="49" t="n"/>
      <c r="D435" s="49" t="n"/>
      <c r="E435" s="49">
        <f>IFERROR(VLOOKUP(D435,'Stock Master'!$A$2:$L$49,2,FALSE),"")</f>
        <v/>
      </c>
      <c r="F435" s="49" t="n"/>
      <c r="G435" s="51">
        <f>IFERROR(VLOOKUP(D435,'Stock Master'!$A$2:$L$49,5,FALSE)*F435,0)</f>
        <v/>
      </c>
      <c r="H435" s="51" t="n"/>
      <c r="I435" s="52" t="n"/>
      <c r="J435" s="51">
        <f>IFERROR(G435-H435,0)</f>
        <v/>
      </c>
      <c r="K435" s="52" t="n"/>
      <c r="L435" s="49">
        <f>IF(A435="","",IF(J435&lt;=0,"Paid",IF(AND(K435&lt;TODAY(),K435&lt;&gt;""),"Overdue","Open")))</f>
        <v/>
      </c>
      <c r="M435" s="49" t="n"/>
    </row>
    <row r="436">
      <c r="A436" s="52" t="n"/>
      <c r="B436" s="49" t="n"/>
      <c r="C436" s="49" t="n"/>
      <c r="D436" s="49" t="n"/>
      <c r="E436" s="49">
        <f>IFERROR(VLOOKUP(D436,'Stock Master'!$A$2:$L$49,2,FALSE),"")</f>
        <v/>
      </c>
      <c r="F436" s="49" t="n"/>
      <c r="G436" s="51">
        <f>IFERROR(VLOOKUP(D436,'Stock Master'!$A$2:$L$49,5,FALSE)*F436,0)</f>
        <v/>
      </c>
      <c r="H436" s="51" t="n"/>
      <c r="I436" s="52" t="n"/>
      <c r="J436" s="51">
        <f>IFERROR(G436-H436,0)</f>
        <v/>
      </c>
      <c r="K436" s="52" t="n"/>
      <c r="L436" s="49">
        <f>IF(A436="","",IF(J436&lt;=0,"Paid",IF(AND(K436&lt;TODAY(),K436&lt;&gt;""),"Overdue","Open")))</f>
        <v/>
      </c>
      <c r="M436" s="49" t="n"/>
    </row>
    <row r="437">
      <c r="A437" s="52" t="n"/>
      <c r="B437" s="49" t="n"/>
      <c r="C437" s="49" t="n"/>
      <c r="D437" s="49" t="n"/>
      <c r="E437" s="49">
        <f>IFERROR(VLOOKUP(D437,'Stock Master'!$A$2:$L$49,2,FALSE),"")</f>
        <v/>
      </c>
      <c r="F437" s="49" t="n"/>
      <c r="G437" s="51">
        <f>IFERROR(VLOOKUP(D437,'Stock Master'!$A$2:$L$49,5,FALSE)*F437,0)</f>
        <v/>
      </c>
      <c r="H437" s="51" t="n"/>
      <c r="I437" s="52" t="n"/>
      <c r="J437" s="51">
        <f>IFERROR(G437-H437,0)</f>
        <v/>
      </c>
      <c r="K437" s="52" t="n"/>
      <c r="L437" s="49">
        <f>IF(A437="","",IF(J437&lt;=0,"Paid",IF(AND(K437&lt;TODAY(),K437&lt;&gt;""),"Overdue","Open")))</f>
        <v/>
      </c>
      <c r="M437" s="49" t="n"/>
    </row>
    <row r="438">
      <c r="A438" s="52" t="n"/>
      <c r="B438" s="49" t="n"/>
      <c r="C438" s="49" t="n"/>
      <c r="D438" s="49" t="n"/>
      <c r="E438" s="49">
        <f>IFERROR(VLOOKUP(D438,'Stock Master'!$A$2:$L$49,2,FALSE),"")</f>
        <v/>
      </c>
      <c r="F438" s="49" t="n"/>
      <c r="G438" s="51">
        <f>IFERROR(VLOOKUP(D438,'Stock Master'!$A$2:$L$49,5,FALSE)*F438,0)</f>
        <v/>
      </c>
      <c r="H438" s="51" t="n"/>
      <c r="I438" s="52" t="n"/>
      <c r="J438" s="51">
        <f>IFERROR(G438-H438,0)</f>
        <v/>
      </c>
      <c r="K438" s="52" t="n"/>
      <c r="L438" s="49">
        <f>IF(A438="","",IF(J438&lt;=0,"Paid",IF(AND(K438&lt;TODAY(),K438&lt;&gt;""),"Overdue","Open")))</f>
        <v/>
      </c>
      <c r="M438" s="49" t="n"/>
    </row>
    <row r="439">
      <c r="A439" s="52" t="n"/>
      <c r="B439" s="49" t="n"/>
      <c r="C439" s="49" t="n"/>
      <c r="D439" s="49" t="n"/>
      <c r="E439" s="49">
        <f>IFERROR(VLOOKUP(D439,'Stock Master'!$A$2:$L$49,2,FALSE),"")</f>
        <v/>
      </c>
      <c r="F439" s="49" t="n"/>
      <c r="G439" s="51">
        <f>IFERROR(VLOOKUP(D439,'Stock Master'!$A$2:$L$49,5,FALSE)*F439,0)</f>
        <v/>
      </c>
      <c r="H439" s="51" t="n"/>
      <c r="I439" s="52" t="n"/>
      <c r="J439" s="51">
        <f>IFERROR(G439-H439,0)</f>
        <v/>
      </c>
      <c r="K439" s="52" t="n"/>
      <c r="L439" s="49">
        <f>IF(A439="","",IF(J439&lt;=0,"Paid",IF(AND(K439&lt;TODAY(),K439&lt;&gt;""),"Overdue","Open")))</f>
        <v/>
      </c>
      <c r="M439" s="49" t="n"/>
    </row>
    <row r="440">
      <c r="A440" s="52" t="n"/>
      <c r="B440" s="49" t="n"/>
      <c r="C440" s="49" t="n"/>
      <c r="D440" s="49" t="n"/>
      <c r="E440" s="49">
        <f>IFERROR(VLOOKUP(D440,'Stock Master'!$A$2:$L$49,2,FALSE),"")</f>
        <v/>
      </c>
      <c r="F440" s="49" t="n"/>
      <c r="G440" s="51">
        <f>IFERROR(VLOOKUP(D440,'Stock Master'!$A$2:$L$49,5,FALSE)*F440,0)</f>
        <v/>
      </c>
      <c r="H440" s="51" t="n"/>
      <c r="I440" s="52" t="n"/>
      <c r="J440" s="51">
        <f>IFERROR(G440-H440,0)</f>
        <v/>
      </c>
      <c r="K440" s="52" t="n"/>
      <c r="L440" s="49">
        <f>IF(A440="","",IF(J440&lt;=0,"Paid",IF(AND(K440&lt;TODAY(),K440&lt;&gt;""),"Overdue","Open")))</f>
        <v/>
      </c>
      <c r="M440" s="49" t="n"/>
    </row>
    <row r="441">
      <c r="A441" s="52" t="n"/>
      <c r="B441" s="49" t="n"/>
      <c r="C441" s="49" t="n"/>
      <c r="D441" s="49" t="n"/>
      <c r="E441" s="49">
        <f>IFERROR(VLOOKUP(D441,'Stock Master'!$A$2:$L$49,2,FALSE),"")</f>
        <v/>
      </c>
      <c r="F441" s="49" t="n"/>
      <c r="G441" s="51">
        <f>IFERROR(VLOOKUP(D441,'Stock Master'!$A$2:$L$49,5,FALSE)*F441,0)</f>
        <v/>
      </c>
      <c r="H441" s="51" t="n"/>
      <c r="I441" s="52" t="n"/>
      <c r="J441" s="51">
        <f>IFERROR(G441-H441,0)</f>
        <v/>
      </c>
      <c r="K441" s="52" t="n"/>
      <c r="L441" s="49">
        <f>IF(A441="","",IF(J441&lt;=0,"Paid",IF(AND(K441&lt;TODAY(),K441&lt;&gt;""),"Overdue","Open")))</f>
        <v/>
      </c>
      <c r="M441" s="49" t="n"/>
    </row>
    <row r="442">
      <c r="A442" s="52" t="n"/>
      <c r="B442" s="49" t="n"/>
      <c r="C442" s="49" t="n"/>
      <c r="D442" s="49" t="n"/>
      <c r="E442" s="49">
        <f>IFERROR(VLOOKUP(D442,'Stock Master'!$A$2:$L$49,2,FALSE),"")</f>
        <v/>
      </c>
      <c r="F442" s="49" t="n"/>
      <c r="G442" s="51">
        <f>IFERROR(VLOOKUP(D442,'Stock Master'!$A$2:$L$49,5,FALSE)*F442,0)</f>
        <v/>
      </c>
      <c r="H442" s="51" t="n"/>
      <c r="I442" s="52" t="n"/>
      <c r="J442" s="51">
        <f>IFERROR(G442-H442,0)</f>
        <v/>
      </c>
      <c r="K442" s="52" t="n"/>
      <c r="L442" s="49">
        <f>IF(A442="","",IF(J442&lt;=0,"Paid",IF(AND(K442&lt;TODAY(),K442&lt;&gt;""),"Overdue","Open")))</f>
        <v/>
      </c>
      <c r="M442" s="49" t="n"/>
    </row>
    <row r="443">
      <c r="A443" s="52" t="n"/>
      <c r="B443" s="49" t="n"/>
      <c r="C443" s="49" t="n"/>
      <c r="D443" s="49" t="n"/>
      <c r="E443" s="49">
        <f>IFERROR(VLOOKUP(D443,'Stock Master'!$A$2:$L$49,2,FALSE),"")</f>
        <v/>
      </c>
      <c r="F443" s="49" t="n"/>
      <c r="G443" s="51">
        <f>IFERROR(VLOOKUP(D443,'Stock Master'!$A$2:$L$49,5,FALSE)*F443,0)</f>
        <v/>
      </c>
      <c r="H443" s="51" t="n"/>
      <c r="I443" s="52" t="n"/>
      <c r="J443" s="51">
        <f>IFERROR(G443-H443,0)</f>
        <v/>
      </c>
      <c r="K443" s="52" t="n"/>
      <c r="L443" s="49">
        <f>IF(A443="","",IF(J443&lt;=0,"Paid",IF(AND(K443&lt;TODAY(),K443&lt;&gt;""),"Overdue","Open")))</f>
        <v/>
      </c>
      <c r="M443" s="49" t="n"/>
    </row>
    <row r="444">
      <c r="A444" s="52" t="n"/>
      <c r="B444" s="49" t="n"/>
      <c r="C444" s="49" t="n"/>
      <c r="D444" s="49" t="n"/>
      <c r="E444" s="49">
        <f>IFERROR(VLOOKUP(D444,'Stock Master'!$A$2:$L$49,2,FALSE),"")</f>
        <v/>
      </c>
      <c r="F444" s="49" t="n"/>
      <c r="G444" s="51">
        <f>IFERROR(VLOOKUP(D444,'Stock Master'!$A$2:$L$49,5,FALSE)*F444,0)</f>
        <v/>
      </c>
      <c r="H444" s="51" t="n"/>
      <c r="I444" s="52" t="n"/>
      <c r="J444" s="51">
        <f>IFERROR(G444-H444,0)</f>
        <v/>
      </c>
      <c r="K444" s="52" t="n"/>
      <c r="L444" s="49">
        <f>IF(A444="","",IF(J444&lt;=0,"Paid",IF(AND(K444&lt;TODAY(),K444&lt;&gt;""),"Overdue","Open")))</f>
        <v/>
      </c>
      <c r="M444" s="49" t="n"/>
    </row>
    <row r="445">
      <c r="A445" s="52" t="n"/>
      <c r="B445" s="49" t="n"/>
      <c r="C445" s="49" t="n"/>
      <c r="D445" s="49" t="n"/>
      <c r="E445" s="49">
        <f>IFERROR(VLOOKUP(D445,'Stock Master'!$A$2:$L$49,2,FALSE),"")</f>
        <v/>
      </c>
      <c r="F445" s="49" t="n"/>
      <c r="G445" s="51">
        <f>IFERROR(VLOOKUP(D445,'Stock Master'!$A$2:$L$49,5,FALSE)*F445,0)</f>
        <v/>
      </c>
      <c r="H445" s="51" t="n"/>
      <c r="I445" s="52" t="n"/>
      <c r="J445" s="51">
        <f>IFERROR(G445-H445,0)</f>
        <v/>
      </c>
      <c r="K445" s="52" t="n"/>
      <c r="L445" s="49">
        <f>IF(A445="","",IF(J445&lt;=0,"Paid",IF(AND(K445&lt;TODAY(),K445&lt;&gt;""),"Overdue","Open")))</f>
        <v/>
      </c>
      <c r="M445" s="49" t="n"/>
    </row>
    <row r="446">
      <c r="A446" s="52" t="n"/>
      <c r="B446" s="49" t="n"/>
      <c r="C446" s="49" t="n"/>
      <c r="D446" s="49" t="n"/>
      <c r="E446" s="49">
        <f>IFERROR(VLOOKUP(D446,'Stock Master'!$A$2:$L$49,2,FALSE),"")</f>
        <v/>
      </c>
      <c r="F446" s="49" t="n"/>
      <c r="G446" s="51">
        <f>IFERROR(VLOOKUP(D446,'Stock Master'!$A$2:$L$49,5,FALSE)*F446,0)</f>
        <v/>
      </c>
      <c r="H446" s="51" t="n"/>
      <c r="I446" s="52" t="n"/>
      <c r="J446" s="51">
        <f>IFERROR(G446-H446,0)</f>
        <v/>
      </c>
      <c r="K446" s="52" t="n"/>
      <c r="L446" s="49">
        <f>IF(A446="","",IF(J446&lt;=0,"Paid",IF(AND(K446&lt;TODAY(),K446&lt;&gt;""),"Overdue","Open")))</f>
        <v/>
      </c>
      <c r="M446" s="49" t="n"/>
    </row>
    <row r="447">
      <c r="A447" s="52" t="n"/>
      <c r="B447" s="49" t="n"/>
      <c r="C447" s="49" t="n"/>
      <c r="D447" s="49" t="n"/>
      <c r="E447" s="49">
        <f>IFERROR(VLOOKUP(D447,'Stock Master'!$A$2:$L$49,2,FALSE),"")</f>
        <v/>
      </c>
      <c r="F447" s="49" t="n"/>
      <c r="G447" s="51">
        <f>IFERROR(VLOOKUP(D447,'Stock Master'!$A$2:$L$49,5,FALSE)*F447,0)</f>
        <v/>
      </c>
      <c r="H447" s="51" t="n"/>
      <c r="I447" s="52" t="n"/>
      <c r="J447" s="51">
        <f>IFERROR(G447-H447,0)</f>
        <v/>
      </c>
      <c r="K447" s="52" t="n"/>
      <c r="L447" s="49">
        <f>IF(A447="","",IF(J447&lt;=0,"Paid",IF(AND(K447&lt;TODAY(),K447&lt;&gt;""),"Overdue","Open")))</f>
        <v/>
      </c>
      <c r="M447" s="49" t="n"/>
    </row>
    <row r="448">
      <c r="A448" s="52" t="n"/>
      <c r="B448" s="49" t="n"/>
      <c r="C448" s="49" t="n"/>
      <c r="D448" s="49" t="n"/>
      <c r="E448" s="49">
        <f>IFERROR(VLOOKUP(D448,'Stock Master'!$A$2:$L$49,2,FALSE),"")</f>
        <v/>
      </c>
      <c r="F448" s="49" t="n"/>
      <c r="G448" s="51">
        <f>IFERROR(VLOOKUP(D448,'Stock Master'!$A$2:$L$49,5,FALSE)*F448,0)</f>
        <v/>
      </c>
      <c r="H448" s="51" t="n"/>
      <c r="I448" s="52" t="n"/>
      <c r="J448" s="51">
        <f>IFERROR(G448-H448,0)</f>
        <v/>
      </c>
      <c r="K448" s="52" t="n"/>
      <c r="L448" s="49">
        <f>IF(A448="","",IF(J448&lt;=0,"Paid",IF(AND(K448&lt;TODAY(),K448&lt;&gt;""),"Overdue","Open")))</f>
        <v/>
      </c>
      <c r="M448" s="49" t="n"/>
    </row>
    <row r="449">
      <c r="A449" s="52" t="n"/>
      <c r="B449" s="49" t="n"/>
      <c r="C449" s="49" t="n"/>
      <c r="D449" s="49" t="n"/>
      <c r="E449" s="49">
        <f>IFERROR(VLOOKUP(D449,'Stock Master'!$A$2:$L$49,2,FALSE),"")</f>
        <v/>
      </c>
      <c r="F449" s="49" t="n"/>
      <c r="G449" s="51">
        <f>IFERROR(VLOOKUP(D449,'Stock Master'!$A$2:$L$49,5,FALSE)*F449,0)</f>
        <v/>
      </c>
      <c r="H449" s="51" t="n"/>
      <c r="I449" s="52" t="n"/>
      <c r="J449" s="51">
        <f>IFERROR(G449-H449,0)</f>
        <v/>
      </c>
      <c r="K449" s="52" t="n"/>
      <c r="L449" s="49">
        <f>IF(A449="","",IF(J449&lt;=0,"Paid",IF(AND(K449&lt;TODAY(),K449&lt;&gt;""),"Overdue","Open")))</f>
        <v/>
      </c>
      <c r="M449" s="49" t="n"/>
    </row>
    <row r="450">
      <c r="A450" s="52" t="n"/>
      <c r="B450" s="49" t="n"/>
      <c r="C450" s="49" t="n"/>
      <c r="D450" s="49" t="n"/>
      <c r="E450" s="49">
        <f>IFERROR(VLOOKUP(D450,'Stock Master'!$A$2:$L$49,2,FALSE),"")</f>
        <v/>
      </c>
      <c r="F450" s="49" t="n"/>
      <c r="G450" s="51">
        <f>IFERROR(VLOOKUP(D450,'Stock Master'!$A$2:$L$49,5,FALSE)*F450,0)</f>
        <v/>
      </c>
      <c r="H450" s="51" t="n"/>
      <c r="I450" s="52" t="n"/>
      <c r="J450" s="51">
        <f>IFERROR(G450-H450,0)</f>
        <v/>
      </c>
      <c r="K450" s="52" t="n"/>
      <c r="L450" s="49">
        <f>IF(A450="","",IF(J450&lt;=0,"Paid",IF(AND(K450&lt;TODAY(),K450&lt;&gt;""),"Overdue","Open")))</f>
        <v/>
      </c>
      <c r="M450" s="49" t="n"/>
    </row>
    <row r="451">
      <c r="A451" s="52" t="n"/>
      <c r="B451" s="49" t="n"/>
      <c r="C451" s="49" t="n"/>
      <c r="D451" s="49" t="n"/>
      <c r="E451" s="49">
        <f>IFERROR(VLOOKUP(D451,'Stock Master'!$A$2:$L$49,2,FALSE),"")</f>
        <v/>
      </c>
      <c r="F451" s="49" t="n"/>
      <c r="G451" s="51">
        <f>IFERROR(VLOOKUP(D451,'Stock Master'!$A$2:$L$49,5,FALSE)*F451,0)</f>
        <v/>
      </c>
      <c r="H451" s="51" t="n"/>
      <c r="I451" s="52" t="n"/>
      <c r="J451" s="51">
        <f>IFERROR(G451-H451,0)</f>
        <v/>
      </c>
      <c r="K451" s="52" t="n"/>
      <c r="L451" s="49">
        <f>IF(A451="","",IF(J451&lt;=0,"Paid",IF(AND(K451&lt;TODAY(),K451&lt;&gt;""),"Overdue","Open")))</f>
        <v/>
      </c>
      <c r="M451" s="49" t="n"/>
    </row>
    <row r="452">
      <c r="A452" s="52" t="n"/>
      <c r="B452" s="49" t="n"/>
      <c r="C452" s="49" t="n"/>
      <c r="D452" s="49" t="n"/>
      <c r="E452" s="49">
        <f>IFERROR(VLOOKUP(D452,'Stock Master'!$A$2:$L$49,2,FALSE),"")</f>
        <v/>
      </c>
      <c r="F452" s="49" t="n"/>
      <c r="G452" s="51">
        <f>IFERROR(VLOOKUP(D452,'Stock Master'!$A$2:$L$49,5,FALSE)*F452,0)</f>
        <v/>
      </c>
      <c r="H452" s="51" t="n"/>
      <c r="I452" s="52" t="n"/>
      <c r="J452" s="51">
        <f>IFERROR(G452-H452,0)</f>
        <v/>
      </c>
      <c r="K452" s="52" t="n"/>
      <c r="L452" s="49">
        <f>IF(A452="","",IF(J452&lt;=0,"Paid",IF(AND(K452&lt;TODAY(),K452&lt;&gt;""),"Overdue","Open")))</f>
        <v/>
      </c>
      <c r="M452" s="49" t="n"/>
    </row>
    <row r="453">
      <c r="A453" s="52" t="n"/>
      <c r="B453" s="49" t="n"/>
      <c r="C453" s="49" t="n"/>
      <c r="D453" s="49" t="n"/>
      <c r="E453" s="49">
        <f>IFERROR(VLOOKUP(D453,'Stock Master'!$A$2:$L$49,2,FALSE),"")</f>
        <v/>
      </c>
      <c r="F453" s="49" t="n"/>
      <c r="G453" s="51">
        <f>IFERROR(VLOOKUP(D453,'Stock Master'!$A$2:$L$49,5,FALSE)*F453,0)</f>
        <v/>
      </c>
      <c r="H453" s="51" t="n"/>
      <c r="I453" s="52" t="n"/>
      <c r="J453" s="51">
        <f>IFERROR(G453-H453,0)</f>
        <v/>
      </c>
      <c r="K453" s="52" t="n"/>
      <c r="L453" s="49">
        <f>IF(A453="","",IF(J453&lt;=0,"Paid",IF(AND(K453&lt;TODAY(),K453&lt;&gt;""),"Overdue","Open")))</f>
        <v/>
      </c>
      <c r="M453" s="49" t="n"/>
    </row>
    <row r="454">
      <c r="A454" s="52" t="n"/>
      <c r="B454" s="49" t="n"/>
      <c r="C454" s="49" t="n"/>
      <c r="D454" s="49" t="n"/>
      <c r="E454" s="49">
        <f>IFERROR(VLOOKUP(D454,'Stock Master'!$A$2:$L$49,2,FALSE),"")</f>
        <v/>
      </c>
      <c r="F454" s="49" t="n"/>
      <c r="G454" s="51">
        <f>IFERROR(VLOOKUP(D454,'Stock Master'!$A$2:$L$49,5,FALSE)*F454,0)</f>
        <v/>
      </c>
      <c r="H454" s="51" t="n"/>
      <c r="I454" s="52" t="n"/>
      <c r="J454" s="51">
        <f>IFERROR(G454-H454,0)</f>
        <v/>
      </c>
      <c r="K454" s="52" t="n"/>
      <c r="L454" s="49">
        <f>IF(A454="","",IF(J454&lt;=0,"Paid",IF(AND(K454&lt;TODAY(),K454&lt;&gt;""),"Overdue","Open")))</f>
        <v/>
      </c>
      <c r="M454" s="49" t="n"/>
    </row>
    <row r="455">
      <c r="A455" s="52" t="n"/>
      <c r="B455" s="49" t="n"/>
      <c r="C455" s="49" t="n"/>
      <c r="D455" s="49" t="n"/>
      <c r="E455" s="49">
        <f>IFERROR(VLOOKUP(D455,'Stock Master'!$A$2:$L$49,2,FALSE),"")</f>
        <v/>
      </c>
      <c r="F455" s="49" t="n"/>
      <c r="G455" s="51">
        <f>IFERROR(VLOOKUP(D455,'Stock Master'!$A$2:$L$49,5,FALSE)*F455,0)</f>
        <v/>
      </c>
      <c r="H455" s="51" t="n"/>
      <c r="I455" s="52" t="n"/>
      <c r="J455" s="51">
        <f>IFERROR(G455-H455,0)</f>
        <v/>
      </c>
      <c r="K455" s="52" t="n"/>
      <c r="L455" s="49">
        <f>IF(A455="","",IF(J455&lt;=0,"Paid",IF(AND(K455&lt;TODAY(),K455&lt;&gt;""),"Overdue","Open")))</f>
        <v/>
      </c>
      <c r="M455" s="49" t="n"/>
    </row>
    <row r="456">
      <c r="A456" s="52" t="n"/>
      <c r="B456" s="49" t="n"/>
      <c r="C456" s="49" t="n"/>
      <c r="D456" s="49" t="n"/>
      <c r="E456" s="49">
        <f>IFERROR(VLOOKUP(D456,'Stock Master'!$A$2:$L$49,2,FALSE),"")</f>
        <v/>
      </c>
      <c r="F456" s="49" t="n"/>
      <c r="G456" s="51">
        <f>IFERROR(VLOOKUP(D456,'Stock Master'!$A$2:$L$49,5,FALSE)*F456,0)</f>
        <v/>
      </c>
      <c r="H456" s="51" t="n"/>
      <c r="I456" s="52" t="n"/>
      <c r="J456" s="51">
        <f>IFERROR(G456-H456,0)</f>
        <v/>
      </c>
      <c r="K456" s="52" t="n"/>
      <c r="L456" s="49">
        <f>IF(A456="","",IF(J456&lt;=0,"Paid",IF(AND(K456&lt;TODAY(),K456&lt;&gt;""),"Overdue","Open")))</f>
        <v/>
      </c>
      <c r="M456" s="49" t="n"/>
    </row>
    <row r="457">
      <c r="A457" s="52" t="n"/>
      <c r="B457" s="49" t="n"/>
      <c r="C457" s="49" t="n"/>
      <c r="D457" s="49" t="n"/>
      <c r="E457" s="49">
        <f>IFERROR(VLOOKUP(D457,'Stock Master'!$A$2:$L$49,2,FALSE),"")</f>
        <v/>
      </c>
      <c r="F457" s="49" t="n"/>
      <c r="G457" s="51">
        <f>IFERROR(VLOOKUP(D457,'Stock Master'!$A$2:$L$49,5,FALSE)*F457,0)</f>
        <v/>
      </c>
      <c r="H457" s="51" t="n"/>
      <c r="I457" s="52" t="n"/>
      <c r="J457" s="51">
        <f>IFERROR(G457-H457,0)</f>
        <v/>
      </c>
      <c r="K457" s="52" t="n"/>
      <c r="L457" s="49">
        <f>IF(A457="","",IF(J457&lt;=0,"Paid",IF(AND(K457&lt;TODAY(),K457&lt;&gt;""),"Overdue","Open")))</f>
        <v/>
      </c>
      <c r="M457" s="49" t="n"/>
    </row>
    <row r="458">
      <c r="A458" s="52" t="n"/>
      <c r="B458" s="49" t="n"/>
      <c r="C458" s="49" t="n"/>
      <c r="D458" s="49" t="n"/>
      <c r="E458" s="49">
        <f>IFERROR(VLOOKUP(D458,'Stock Master'!$A$2:$L$49,2,FALSE),"")</f>
        <v/>
      </c>
      <c r="F458" s="49" t="n"/>
      <c r="G458" s="51">
        <f>IFERROR(VLOOKUP(D458,'Stock Master'!$A$2:$L$49,5,FALSE)*F458,0)</f>
        <v/>
      </c>
      <c r="H458" s="51" t="n"/>
      <c r="I458" s="52" t="n"/>
      <c r="J458" s="51">
        <f>IFERROR(G458-H458,0)</f>
        <v/>
      </c>
      <c r="K458" s="52" t="n"/>
      <c r="L458" s="49">
        <f>IF(A458="","",IF(J458&lt;=0,"Paid",IF(AND(K458&lt;TODAY(),K458&lt;&gt;""),"Overdue","Open")))</f>
        <v/>
      </c>
      <c r="M458" s="49" t="n"/>
    </row>
    <row r="459">
      <c r="A459" s="52" t="n"/>
      <c r="B459" s="49" t="n"/>
      <c r="C459" s="49" t="n"/>
      <c r="D459" s="49" t="n"/>
      <c r="E459" s="49">
        <f>IFERROR(VLOOKUP(D459,'Stock Master'!$A$2:$L$49,2,FALSE),"")</f>
        <v/>
      </c>
      <c r="F459" s="49" t="n"/>
      <c r="G459" s="51">
        <f>IFERROR(VLOOKUP(D459,'Stock Master'!$A$2:$L$49,5,FALSE)*F459,0)</f>
        <v/>
      </c>
      <c r="H459" s="51" t="n"/>
      <c r="I459" s="52" t="n"/>
      <c r="J459" s="51">
        <f>IFERROR(G459-H459,0)</f>
        <v/>
      </c>
      <c r="K459" s="52" t="n"/>
      <c r="L459" s="49">
        <f>IF(A459="","",IF(J459&lt;=0,"Paid",IF(AND(K459&lt;TODAY(),K459&lt;&gt;""),"Overdue","Open")))</f>
        <v/>
      </c>
      <c r="M459" s="49" t="n"/>
    </row>
    <row r="460">
      <c r="A460" s="52" t="n"/>
      <c r="B460" s="49" t="n"/>
      <c r="C460" s="49" t="n"/>
      <c r="D460" s="49" t="n"/>
      <c r="E460" s="49">
        <f>IFERROR(VLOOKUP(D460,'Stock Master'!$A$2:$L$49,2,FALSE),"")</f>
        <v/>
      </c>
      <c r="F460" s="49" t="n"/>
      <c r="G460" s="51">
        <f>IFERROR(VLOOKUP(D460,'Stock Master'!$A$2:$L$49,5,FALSE)*F460,0)</f>
        <v/>
      </c>
      <c r="H460" s="51" t="n"/>
      <c r="I460" s="52" t="n"/>
      <c r="J460" s="51">
        <f>IFERROR(G460-H460,0)</f>
        <v/>
      </c>
      <c r="K460" s="52" t="n"/>
      <c r="L460" s="49">
        <f>IF(A460="","",IF(J460&lt;=0,"Paid",IF(AND(K460&lt;TODAY(),K460&lt;&gt;""),"Overdue","Open")))</f>
        <v/>
      </c>
      <c r="M460" s="49" t="n"/>
    </row>
    <row r="461">
      <c r="A461" s="52" t="n"/>
      <c r="B461" s="49" t="n"/>
      <c r="C461" s="49" t="n"/>
      <c r="D461" s="49" t="n"/>
      <c r="E461" s="49">
        <f>IFERROR(VLOOKUP(D461,'Stock Master'!$A$2:$L$49,2,FALSE),"")</f>
        <v/>
      </c>
      <c r="F461" s="49" t="n"/>
      <c r="G461" s="51">
        <f>IFERROR(VLOOKUP(D461,'Stock Master'!$A$2:$L$49,5,FALSE)*F461,0)</f>
        <v/>
      </c>
      <c r="H461" s="51" t="n"/>
      <c r="I461" s="52" t="n"/>
      <c r="J461" s="51">
        <f>IFERROR(G461-H461,0)</f>
        <v/>
      </c>
      <c r="K461" s="52" t="n"/>
      <c r="L461" s="49">
        <f>IF(A461="","",IF(J461&lt;=0,"Paid",IF(AND(K461&lt;TODAY(),K461&lt;&gt;""),"Overdue","Open")))</f>
        <v/>
      </c>
      <c r="M461" s="49" t="n"/>
    </row>
    <row r="462">
      <c r="A462" s="52" t="n"/>
      <c r="B462" s="49" t="n"/>
      <c r="C462" s="49" t="n"/>
      <c r="D462" s="49" t="n"/>
      <c r="E462" s="49">
        <f>IFERROR(VLOOKUP(D462,'Stock Master'!$A$2:$L$49,2,FALSE),"")</f>
        <v/>
      </c>
      <c r="F462" s="49" t="n"/>
      <c r="G462" s="51">
        <f>IFERROR(VLOOKUP(D462,'Stock Master'!$A$2:$L$49,5,FALSE)*F462,0)</f>
        <v/>
      </c>
      <c r="H462" s="51" t="n"/>
      <c r="I462" s="52" t="n"/>
      <c r="J462" s="51">
        <f>IFERROR(G462-H462,0)</f>
        <v/>
      </c>
      <c r="K462" s="52" t="n"/>
      <c r="L462" s="49">
        <f>IF(A462="","",IF(J462&lt;=0,"Paid",IF(AND(K462&lt;TODAY(),K462&lt;&gt;""),"Overdue","Open")))</f>
        <v/>
      </c>
      <c r="M462" s="49" t="n"/>
    </row>
    <row r="463">
      <c r="A463" s="52" t="n"/>
      <c r="B463" s="49" t="n"/>
      <c r="C463" s="49" t="n"/>
      <c r="D463" s="49" t="n"/>
      <c r="E463" s="49">
        <f>IFERROR(VLOOKUP(D463,'Stock Master'!$A$2:$L$49,2,FALSE),"")</f>
        <v/>
      </c>
      <c r="F463" s="49" t="n"/>
      <c r="G463" s="51">
        <f>IFERROR(VLOOKUP(D463,'Stock Master'!$A$2:$L$49,5,FALSE)*F463,0)</f>
        <v/>
      </c>
      <c r="H463" s="51" t="n"/>
      <c r="I463" s="52" t="n"/>
      <c r="J463" s="51">
        <f>IFERROR(G463-H463,0)</f>
        <v/>
      </c>
      <c r="K463" s="52" t="n"/>
      <c r="L463" s="49">
        <f>IF(A463="","",IF(J463&lt;=0,"Paid",IF(AND(K463&lt;TODAY(),K463&lt;&gt;""),"Overdue","Open")))</f>
        <v/>
      </c>
      <c r="M463" s="49" t="n"/>
    </row>
    <row r="464">
      <c r="A464" s="52" t="n"/>
      <c r="B464" s="49" t="n"/>
      <c r="C464" s="49" t="n"/>
      <c r="D464" s="49" t="n"/>
      <c r="E464" s="49">
        <f>IFERROR(VLOOKUP(D464,'Stock Master'!$A$2:$L$49,2,FALSE),"")</f>
        <v/>
      </c>
      <c r="F464" s="49" t="n"/>
      <c r="G464" s="51">
        <f>IFERROR(VLOOKUP(D464,'Stock Master'!$A$2:$L$49,5,FALSE)*F464,0)</f>
        <v/>
      </c>
      <c r="H464" s="51" t="n"/>
      <c r="I464" s="52" t="n"/>
      <c r="J464" s="51">
        <f>IFERROR(G464-H464,0)</f>
        <v/>
      </c>
      <c r="K464" s="52" t="n"/>
      <c r="L464" s="49">
        <f>IF(A464="","",IF(J464&lt;=0,"Paid",IF(AND(K464&lt;TODAY(),K464&lt;&gt;""),"Overdue","Open")))</f>
        <v/>
      </c>
      <c r="M464" s="49" t="n"/>
    </row>
    <row r="465">
      <c r="A465" s="52" t="n"/>
      <c r="B465" s="49" t="n"/>
      <c r="C465" s="49" t="n"/>
      <c r="D465" s="49" t="n"/>
      <c r="E465" s="49">
        <f>IFERROR(VLOOKUP(D465,'Stock Master'!$A$2:$L$49,2,FALSE),"")</f>
        <v/>
      </c>
      <c r="F465" s="49" t="n"/>
      <c r="G465" s="51">
        <f>IFERROR(VLOOKUP(D465,'Stock Master'!$A$2:$L$49,5,FALSE)*F465,0)</f>
        <v/>
      </c>
      <c r="H465" s="51" t="n"/>
      <c r="I465" s="52" t="n"/>
      <c r="J465" s="51">
        <f>IFERROR(G465-H465,0)</f>
        <v/>
      </c>
      <c r="K465" s="52" t="n"/>
      <c r="L465" s="49">
        <f>IF(A465="","",IF(J465&lt;=0,"Paid",IF(AND(K465&lt;TODAY(),K465&lt;&gt;""),"Overdue","Open")))</f>
        <v/>
      </c>
      <c r="M465" s="49" t="n"/>
    </row>
    <row r="466">
      <c r="A466" s="52" t="n"/>
      <c r="B466" s="49" t="n"/>
      <c r="C466" s="49" t="n"/>
      <c r="D466" s="49" t="n"/>
      <c r="E466" s="49">
        <f>IFERROR(VLOOKUP(D466,'Stock Master'!$A$2:$L$49,2,FALSE),"")</f>
        <v/>
      </c>
      <c r="F466" s="49" t="n"/>
      <c r="G466" s="51">
        <f>IFERROR(VLOOKUP(D466,'Stock Master'!$A$2:$L$49,5,FALSE)*F466,0)</f>
        <v/>
      </c>
      <c r="H466" s="51" t="n"/>
      <c r="I466" s="52" t="n"/>
      <c r="J466" s="51">
        <f>IFERROR(G466-H466,0)</f>
        <v/>
      </c>
      <c r="K466" s="52" t="n"/>
      <c r="L466" s="49">
        <f>IF(A466="","",IF(J466&lt;=0,"Paid",IF(AND(K466&lt;TODAY(),K466&lt;&gt;""),"Overdue","Open")))</f>
        <v/>
      </c>
      <c r="M466" s="49" t="n"/>
    </row>
    <row r="467">
      <c r="A467" s="52" t="n"/>
      <c r="B467" s="49" t="n"/>
      <c r="C467" s="49" t="n"/>
      <c r="D467" s="49" t="n"/>
      <c r="E467" s="49">
        <f>IFERROR(VLOOKUP(D467,'Stock Master'!$A$2:$L$49,2,FALSE),"")</f>
        <v/>
      </c>
      <c r="F467" s="49" t="n"/>
      <c r="G467" s="51">
        <f>IFERROR(VLOOKUP(D467,'Stock Master'!$A$2:$L$49,5,FALSE)*F467,0)</f>
        <v/>
      </c>
      <c r="H467" s="51" t="n"/>
      <c r="I467" s="52" t="n"/>
      <c r="J467" s="51">
        <f>IFERROR(G467-H467,0)</f>
        <v/>
      </c>
      <c r="K467" s="52" t="n"/>
      <c r="L467" s="49">
        <f>IF(A467="","",IF(J467&lt;=0,"Paid",IF(AND(K467&lt;TODAY(),K467&lt;&gt;""),"Overdue","Open")))</f>
        <v/>
      </c>
      <c r="M467" s="49" t="n"/>
    </row>
    <row r="468">
      <c r="A468" s="52" t="n"/>
      <c r="B468" s="49" t="n"/>
      <c r="C468" s="49" t="n"/>
      <c r="D468" s="49" t="n"/>
      <c r="E468" s="49">
        <f>IFERROR(VLOOKUP(D468,'Stock Master'!$A$2:$L$49,2,FALSE),"")</f>
        <v/>
      </c>
      <c r="F468" s="49" t="n"/>
      <c r="G468" s="51">
        <f>IFERROR(VLOOKUP(D468,'Stock Master'!$A$2:$L$49,5,FALSE)*F468,0)</f>
        <v/>
      </c>
      <c r="H468" s="51" t="n"/>
      <c r="I468" s="52" t="n"/>
      <c r="J468" s="51">
        <f>IFERROR(G468-H468,0)</f>
        <v/>
      </c>
      <c r="K468" s="52" t="n"/>
      <c r="L468" s="49">
        <f>IF(A468="","",IF(J468&lt;=0,"Paid",IF(AND(K468&lt;TODAY(),K468&lt;&gt;""),"Overdue","Open")))</f>
        <v/>
      </c>
      <c r="M468" s="49" t="n"/>
    </row>
    <row r="469">
      <c r="A469" s="52" t="n"/>
      <c r="B469" s="49" t="n"/>
      <c r="C469" s="49" t="n"/>
      <c r="D469" s="49" t="n"/>
      <c r="E469" s="49">
        <f>IFERROR(VLOOKUP(D469,'Stock Master'!$A$2:$L$49,2,FALSE),"")</f>
        <v/>
      </c>
      <c r="F469" s="49" t="n"/>
      <c r="G469" s="51">
        <f>IFERROR(VLOOKUP(D469,'Stock Master'!$A$2:$L$49,5,FALSE)*F469,0)</f>
        <v/>
      </c>
      <c r="H469" s="51" t="n"/>
      <c r="I469" s="52" t="n"/>
      <c r="J469" s="51">
        <f>IFERROR(G469-H469,0)</f>
        <v/>
      </c>
      <c r="K469" s="52" t="n"/>
      <c r="L469" s="49">
        <f>IF(A469="","",IF(J469&lt;=0,"Paid",IF(AND(K469&lt;TODAY(),K469&lt;&gt;""),"Overdue","Open")))</f>
        <v/>
      </c>
      <c r="M469" s="49" t="n"/>
    </row>
    <row r="470">
      <c r="A470" s="52" t="n"/>
      <c r="B470" s="49" t="n"/>
      <c r="C470" s="49" t="n"/>
      <c r="D470" s="49" t="n"/>
      <c r="E470" s="49">
        <f>IFERROR(VLOOKUP(D470,'Stock Master'!$A$2:$L$49,2,FALSE),"")</f>
        <v/>
      </c>
      <c r="F470" s="49" t="n"/>
      <c r="G470" s="51">
        <f>IFERROR(VLOOKUP(D470,'Stock Master'!$A$2:$L$49,5,FALSE)*F470,0)</f>
        <v/>
      </c>
      <c r="H470" s="51" t="n"/>
      <c r="I470" s="52" t="n"/>
      <c r="J470" s="51">
        <f>IFERROR(G470-H470,0)</f>
        <v/>
      </c>
      <c r="K470" s="52" t="n"/>
      <c r="L470" s="49">
        <f>IF(A470="","",IF(J470&lt;=0,"Paid",IF(AND(K470&lt;TODAY(),K470&lt;&gt;""),"Overdue","Open")))</f>
        <v/>
      </c>
      <c r="M470" s="49" t="n"/>
    </row>
    <row r="471">
      <c r="A471" s="52" t="n"/>
      <c r="B471" s="49" t="n"/>
      <c r="C471" s="49" t="n"/>
      <c r="D471" s="49" t="n"/>
      <c r="E471" s="49">
        <f>IFERROR(VLOOKUP(D471,'Stock Master'!$A$2:$L$49,2,FALSE),"")</f>
        <v/>
      </c>
      <c r="F471" s="49" t="n"/>
      <c r="G471" s="51">
        <f>IFERROR(VLOOKUP(D471,'Stock Master'!$A$2:$L$49,5,FALSE)*F471,0)</f>
        <v/>
      </c>
      <c r="H471" s="51" t="n"/>
      <c r="I471" s="52" t="n"/>
      <c r="J471" s="51">
        <f>IFERROR(G471-H471,0)</f>
        <v/>
      </c>
      <c r="K471" s="52" t="n"/>
      <c r="L471" s="49">
        <f>IF(A471="","",IF(J471&lt;=0,"Paid",IF(AND(K471&lt;TODAY(),K471&lt;&gt;""),"Overdue","Open")))</f>
        <v/>
      </c>
      <c r="M471" s="49" t="n"/>
    </row>
    <row r="472">
      <c r="A472" s="52" t="n"/>
      <c r="B472" s="49" t="n"/>
      <c r="C472" s="49" t="n"/>
      <c r="D472" s="49" t="n"/>
      <c r="E472" s="49">
        <f>IFERROR(VLOOKUP(D472,'Stock Master'!$A$2:$L$49,2,FALSE),"")</f>
        <v/>
      </c>
      <c r="F472" s="49" t="n"/>
      <c r="G472" s="51">
        <f>IFERROR(VLOOKUP(D472,'Stock Master'!$A$2:$L$49,5,FALSE)*F472,0)</f>
        <v/>
      </c>
      <c r="H472" s="51" t="n"/>
      <c r="I472" s="52" t="n"/>
      <c r="J472" s="51">
        <f>IFERROR(G472-H472,0)</f>
        <v/>
      </c>
      <c r="K472" s="52" t="n"/>
      <c r="L472" s="49">
        <f>IF(A472="","",IF(J472&lt;=0,"Paid",IF(AND(K472&lt;TODAY(),K472&lt;&gt;""),"Overdue","Open")))</f>
        <v/>
      </c>
      <c r="M472" s="49" t="n"/>
    </row>
    <row r="473">
      <c r="A473" s="52" t="n"/>
      <c r="B473" s="49" t="n"/>
      <c r="C473" s="49" t="n"/>
      <c r="D473" s="49" t="n"/>
      <c r="E473" s="49">
        <f>IFERROR(VLOOKUP(D473,'Stock Master'!$A$2:$L$49,2,FALSE),"")</f>
        <v/>
      </c>
      <c r="F473" s="49" t="n"/>
      <c r="G473" s="51">
        <f>IFERROR(VLOOKUP(D473,'Stock Master'!$A$2:$L$49,5,FALSE)*F473,0)</f>
        <v/>
      </c>
      <c r="H473" s="51" t="n"/>
      <c r="I473" s="52" t="n"/>
      <c r="J473" s="51">
        <f>IFERROR(G473-H473,0)</f>
        <v/>
      </c>
      <c r="K473" s="52" t="n"/>
      <c r="L473" s="49">
        <f>IF(A473="","",IF(J473&lt;=0,"Paid",IF(AND(K473&lt;TODAY(),K473&lt;&gt;""),"Overdue","Open")))</f>
        <v/>
      </c>
      <c r="M473" s="49" t="n"/>
    </row>
    <row r="474">
      <c r="A474" s="52" t="n"/>
      <c r="B474" s="49" t="n"/>
      <c r="C474" s="49" t="n"/>
      <c r="D474" s="49" t="n"/>
      <c r="E474" s="49">
        <f>IFERROR(VLOOKUP(D474,'Stock Master'!$A$2:$L$49,2,FALSE),"")</f>
        <v/>
      </c>
      <c r="F474" s="49" t="n"/>
      <c r="G474" s="51">
        <f>IFERROR(VLOOKUP(D474,'Stock Master'!$A$2:$L$49,5,FALSE)*F474,0)</f>
        <v/>
      </c>
      <c r="H474" s="51" t="n"/>
      <c r="I474" s="52" t="n"/>
      <c r="J474" s="51">
        <f>IFERROR(G474-H474,0)</f>
        <v/>
      </c>
      <c r="K474" s="52" t="n"/>
      <c r="L474" s="49">
        <f>IF(A474="","",IF(J474&lt;=0,"Paid",IF(AND(K474&lt;TODAY(),K474&lt;&gt;""),"Overdue","Open")))</f>
        <v/>
      </c>
      <c r="M474" s="49" t="n"/>
    </row>
    <row r="475">
      <c r="A475" s="52" t="n"/>
      <c r="B475" s="49" t="n"/>
      <c r="C475" s="49" t="n"/>
      <c r="D475" s="49" t="n"/>
      <c r="E475" s="49">
        <f>IFERROR(VLOOKUP(D475,'Stock Master'!$A$2:$L$49,2,FALSE),"")</f>
        <v/>
      </c>
      <c r="F475" s="49" t="n"/>
      <c r="G475" s="51">
        <f>IFERROR(VLOOKUP(D475,'Stock Master'!$A$2:$L$49,5,FALSE)*F475,0)</f>
        <v/>
      </c>
      <c r="H475" s="51" t="n"/>
      <c r="I475" s="52" t="n"/>
      <c r="J475" s="51">
        <f>IFERROR(G475-H475,0)</f>
        <v/>
      </c>
      <c r="K475" s="52" t="n"/>
      <c r="L475" s="49">
        <f>IF(A475="","",IF(J475&lt;=0,"Paid",IF(AND(K475&lt;TODAY(),K475&lt;&gt;""),"Overdue","Open")))</f>
        <v/>
      </c>
      <c r="M475" s="49" t="n"/>
    </row>
    <row r="476">
      <c r="A476" s="52" t="n"/>
      <c r="B476" s="49" t="n"/>
      <c r="C476" s="49" t="n"/>
      <c r="D476" s="49" t="n"/>
      <c r="E476" s="49">
        <f>IFERROR(VLOOKUP(D476,'Stock Master'!$A$2:$L$49,2,FALSE),"")</f>
        <v/>
      </c>
      <c r="F476" s="49" t="n"/>
      <c r="G476" s="51">
        <f>IFERROR(VLOOKUP(D476,'Stock Master'!$A$2:$L$49,5,FALSE)*F476,0)</f>
        <v/>
      </c>
      <c r="H476" s="51" t="n"/>
      <c r="I476" s="52" t="n"/>
      <c r="J476" s="51">
        <f>IFERROR(G476-H476,0)</f>
        <v/>
      </c>
      <c r="K476" s="52" t="n"/>
      <c r="L476" s="49">
        <f>IF(A476="","",IF(J476&lt;=0,"Paid",IF(AND(K476&lt;TODAY(),K476&lt;&gt;""),"Overdue","Open")))</f>
        <v/>
      </c>
      <c r="M476" s="49" t="n"/>
    </row>
    <row r="477">
      <c r="A477" s="52" t="n"/>
      <c r="B477" s="49" t="n"/>
      <c r="C477" s="49" t="n"/>
      <c r="D477" s="49" t="n"/>
      <c r="E477" s="49">
        <f>IFERROR(VLOOKUP(D477,'Stock Master'!$A$2:$L$49,2,FALSE),"")</f>
        <v/>
      </c>
      <c r="F477" s="49" t="n"/>
      <c r="G477" s="51">
        <f>IFERROR(VLOOKUP(D477,'Stock Master'!$A$2:$L$49,5,FALSE)*F477,0)</f>
        <v/>
      </c>
      <c r="H477" s="51" t="n"/>
      <c r="I477" s="52" t="n"/>
      <c r="J477" s="51">
        <f>IFERROR(G477-H477,0)</f>
        <v/>
      </c>
      <c r="K477" s="52" t="n"/>
      <c r="L477" s="49">
        <f>IF(A477="","",IF(J477&lt;=0,"Paid",IF(AND(K477&lt;TODAY(),K477&lt;&gt;""),"Overdue","Open")))</f>
        <v/>
      </c>
      <c r="M477" s="49" t="n"/>
    </row>
    <row r="478">
      <c r="A478" s="52" t="n"/>
      <c r="B478" s="49" t="n"/>
      <c r="C478" s="49" t="n"/>
      <c r="D478" s="49" t="n"/>
      <c r="E478" s="49">
        <f>IFERROR(VLOOKUP(D478,'Stock Master'!$A$2:$L$49,2,FALSE),"")</f>
        <v/>
      </c>
      <c r="F478" s="49" t="n"/>
      <c r="G478" s="51">
        <f>IFERROR(VLOOKUP(D478,'Stock Master'!$A$2:$L$49,5,FALSE)*F478,0)</f>
        <v/>
      </c>
      <c r="H478" s="51" t="n"/>
      <c r="I478" s="52" t="n"/>
      <c r="J478" s="51">
        <f>IFERROR(G478-H478,0)</f>
        <v/>
      </c>
      <c r="K478" s="52" t="n"/>
      <c r="L478" s="49">
        <f>IF(A478="","",IF(J478&lt;=0,"Paid",IF(AND(K478&lt;TODAY(),K478&lt;&gt;""),"Overdue","Open")))</f>
        <v/>
      </c>
      <c r="M478" s="49" t="n"/>
    </row>
    <row r="479">
      <c r="A479" s="52" t="n"/>
      <c r="B479" s="49" t="n"/>
      <c r="C479" s="49" t="n"/>
      <c r="D479" s="49" t="n"/>
      <c r="E479" s="49">
        <f>IFERROR(VLOOKUP(D479,'Stock Master'!$A$2:$L$49,2,FALSE),"")</f>
        <v/>
      </c>
      <c r="F479" s="49" t="n"/>
      <c r="G479" s="51">
        <f>IFERROR(VLOOKUP(D479,'Stock Master'!$A$2:$L$49,5,FALSE)*F479,0)</f>
        <v/>
      </c>
      <c r="H479" s="51" t="n"/>
      <c r="I479" s="52" t="n"/>
      <c r="J479" s="51">
        <f>IFERROR(G479-H479,0)</f>
        <v/>
      </c>
      <c r="K479" s="52" t="n"/>
      <c r="L479" s="49">
        <f>IF(A479="","",IF(J479&lt;=0,"Paid",IF(AND(K479&lt;TODAY(),K479&lt;&gt;""),"Overdue","Open")))</f>
        <v/>
      </c>
      <c r="M479" s="49" t="n"/>
    </row>
    <row r="480">
      <c r="A480" s="52" t="n"/>
      <c r="B480" s="49" t="n"/>
      <c r="C480" s="49" t="n"/>
      <c r="D480" s="49" t="n"/>
      <c r="E480" s="49">
        <f>IFERROR(VLOOKUP(D480,'Stock Master'!$A$2:$L$49,2,FALSE),"")</f>
        <v/>
      </c>
      <c r="F480" s="49" t="n"/>
      <c r="G480" s="51">
        <f>IFERROR(VLOOKUP(D480,'Stock Master'!$A$2:$L$49,5,FALSE)*F480,0)</f>
        <v/>
      </c>
      <c r="H480" s="51" t="n"/>
      <c r="I480" s="52" t="n"/>
      <c r="J480" s="51">
        <f>IFERROR(G480-H480,0)</f>
        <v/>
      </c>
      <c r="K480" s="52" t="n"/>
      <c r="L480" s="49">
        <f>IF(A480="","",IF(J480&lt;=0,"Paid",IF(AND(K480&lt;TODAY(),K480&lt;&gt;""),"Overdue","Open")))</f>
        <v/>
      </c>
      <c r="M480" s="49" t="n"/>
    </row>
    <row r="481">
      <c r="A481" s="52" t="n"/>
      <c r="B481" s="49" t="n"/>
      <c r="C481" s="49" t="n"/>
      <c r="D481" s="49" t="n"/>
      <c r="E481" s="49">
        <f>IFERROR(VLOOKUP(D481,'Stock Master'!$A$2:$L$49,2,FALSE),"")</f>
        <v/>
      </c>
      <c r="F481" s="49" t="n"/>
      <c r="G481" s="51">
        <f>IFERROR(VLOOKUP(D481,'Stock Master'!$A$2:$L$49,5,FALSE)*F481,0)</f>
        <v/>
      </c>
      <c r="H481" s="51" t="n"/>
      <c r="I481" s="52" t="n"/>
      <c r="J481" s="51">
        <f>IFERROR(G481-H481,0)</f>
        <v/>
      </c>
      <c r="K481" s="52" t="n"/>
      <c r="L481" s="49">
        <f>IF(A481="","",IF(J481&lt;=0,"Paid",IF(AND(K481&lt;TODAY(),K481&lt;&gt;""),"Overdue","Open")))</f>
        <v/>
      </c>
      <c r="M481" s="49" t="n"/>
    </row>
    <row r="482">
      <c r="A482" s="52" t="n"/>
      <c r="B482" s="49" t="n"/>
      <c r="C482" s="49" t="n"/>
      <c r="D482" s="49" t="n"/>
      <c r="E482" s="49">
        <f>IFERROR(VLOOKUP(D482,'Stock Master'!$A$2:$L$49,2,FALSE),"")</f>
        <v/>
      </c>
      <c r="F482" s="49" t="n"/>
      <c r="G482" s="51">
        <f>IFERROR(VLOOKUP(D482,'Stock Master'!$A$2:$L$49,5,FALSE)*F482,0)</f>
        <v/>
      </c>
      <c r="H482" s="51" t="n"/>
      <c r="I482" s="52" t="n"/>
      <c r="J482" s="51">
        <f>IFERROR(G482-H482,0)</f>
        <v/>
      </c>
      <c r="K482" s="52" t="n"/>
      <c r="L482" s="49">
        <f>IF(A482="","",IF(J482&lt;=0,"Paid",IF(AND(K482&lt;TODAY(),K482&lt;&gt;""),"Overdue","Open")))</f>
        <v/>
      </c>
      <c r="M482" s="49" t="n"/>
    </row>
    <row r="483">
      <c r="A483" s="52" t="n"/>
      <c r="B483" s="49" t="n"/>
      <c r="C483" s="49" t="n"/>
      <c r="D483" s="49" t="n"/>
      <c r="E483" s="49">
        <f>IFERROR(VLOOKUP(D483,'Stock Master'!$A$2:$L$49,2,FALSE),"")</f>
        <v/>
      </c>
      <c r="F483" s="49" t="n"/>
      <c r="G483" s="51">
        <f>IFERROR(VLOOKUP(D483,'Stock Master'!$A$2:$L$49,5,FALSE)*F483,0)</f>
        <v/>
      </c>
      <c r="H483" s="51" t="n"/>
      <c r="I483" s="52" t="n"/>
      <c r="J483" s="51">
        <f>IFERROR(G483-H483,0)</f>
        <v/>
      </c>
      <c r="K483" s="52" t="n"/>
      <c r="L483" s="49">
        <f>IF(A483="","",IF(J483&lt;=0,"Paid",IF(AND(K483&lt;TODAY(),K483&lt;&gt;""),"Overdue","Open")))</f>
        <v/>
      </c>
      <c r="M483" s="49" t="n"/>
    </row>
    <row r="484">
      <c r="A484" s="52" t="n"/>
      <c r="B484" s="49" t="n"/>
      <c r="C484" s="49" t="n"/>
      <c r="D484" s="49" t="n"/>
      <c r="E484" s="49">
        <f>IFERROR(VLOOKUP(D484,'Stock Master'!$A$2:$L$49,2,FALSE),"")</f>
        <v/>
      </c>
      <c r="F484" s="49" t="n"/>
      <c r="G484" s="51">
        <f>IFERROR(VLOOKUP(D484,'Stock Master'!$A$2:$L$49,5,FALSE)*F484,0)</f>
        <v/>
      </c>
      <c r="H484" s="51" t="n"/>
      <c r="I484" s="52" t="n"/>
      <c r="J484" s="51">
        <f>IFERROR(G484-H484,0)</f>
        <v/>
      </c>
      <c r="K484" s="52" t="n"/>
      <c r="L484" s="49">
        <f>IF(A484="","",IF(J484&lt;=0,"Paid",IF(AND(K484&lt;TODAY(),K484&lt;&gt;""),"Overdue","Open")))</f>
        <v/>
      </c>
      <c r="M484" s="49" t="n"/>
    </row>
    <row r="485">
      <c r="A485" s="52" t="n"/>
      <c r="B485" s="49" t="n"/>
      <c r="C485" s="49" t="n"/>
      <c r="D485" s="49" t="n"/>
      <c r="E485" s="49">
        <f>IFERROR(VLOOKUP(D485,'Stock Master'!$A$2:$L$49,2,FALSE),"")</f>
        <v/>
      </c>
      <c r="F485" s="49" t="n"/>
      <c r="G485" s="51">
        <f>IFERROR(VLOOKUP(D485,'Stock Master'!$A$2:$L$49,5,FALSE)*F485,0)</f>
        <v/>
      </c>
      <c r="H485" s="51" t="n"/>
      <c r="I485" s="52" t="n"/>
      <c r="J485" s="51">
        <f>IFERROR(G485-H485,0)</f>
        <v/>
      </c>
      <c r="K485" s="52" t="n"/>
      <c r="L485" s="49">
        <f>IF(A485="","",IF(J485&lt;=0,"Paid",IF(AND(K485&lt;TODAY(),K485&lt;&gt;""),"Overdue","Open")))</f>
        <v/>
      </c>
      <c r="M485" s="49" t="n"/>
    </row>
    <row r="486">
      <c r="A486" s="52" t="n"/>
      <c r="B486" s="49" t="n"/>
      <c r="C486" s="49" t="n"/>
      <c r="D486" s="49" t="n"/>
      <c r="E486" s="49">
        <f>IFERROR(VLOOKUP(D486,'Stock Master'!$A$2:$L$49,2,FALSE),"")</f>
        <v/>
      </c>
      <c r="F486" s="49" t="n"/>
      <c r="G486" s="51">
        <f>IFERROR(VLOOKUP(D486,'Stock Master'!$A$2:$L$49,5,FALSE)*F486,0)</f>
        <v/>
      </c>
      <c r="H486" s="51" t="n"/>
      <c r="I486" s="52" t="n"/>
      <c r="J486" s="51">
        <f>IFERROR(G486-H486,0)</f>
        <v/>
      </c>
      <c r="K486" s="52" t="n"/>
      <c r="L486" s="49">
        <f>IF(A486="","",IF(J486&lt;=0,"Paid",IF(AND(K486&lt;TODAY(),K486&lt;&gt;""),"Overdue","Open")))</f>
        <v/>
      </c>
      <c r="M486" s="49" t="n"/>
    </row>
    <row r="487">
      <c r="A487" s="52" t="n"/>
      <c r="B487" s="49" t="n"/>
      <c r="C487" s="49" t="n"/>
      <c r="D487" s="49" t="n"/>
      <c r="E487" s="49">
        <f>IFERROR(VLOOKUP(D487,'Stock Master'!$A$2:$L$49,2,FALSE),"")</f>
        <v/>
      </c>
      <c r="F487" s="49" t="n"/>
      <c r="G487" s="51">
        <f>IFERROR(VLOOKUP(D487,'Stock Master'!$A$2:$L$49,5,FALSE)*F487,0)</f>
        <v/>
      </c>
      <c r="H487" s="51" t="n"/>
      <c r="I487" s="52" t="n"/>
      <c r="J487" s="51">
        <f>IFERROR(G487-H487,0)</f>
        <v/>
      </c>
      <c r="K487" s="52" t="n"/>
      <c r="L487" s="49">
        <f>IF(A487="","",IF(J487&lt;=0,"Paid",IF(AND(K487&lt;TODAY(),K487&lt;&gt;""),"Overdue","Open")))</f>
        <v/>
      </c>
      <c r="M487" s="49" t="n"/>
    </row>
    <row r="488">
      <c r="A488" s="52" t="n"/>
      <c r="B488" s="49" t="n"/>
      <c r="C488" s="49" t="n"/>
      <c r="D488" s="49" t="n"/>
      <c r="E488" s="49">
        <f>IFERROR(VLOOKUP(D488,'Stock Master'!$A$2:$L$49,2,FALSE),"")</f>
        <v/>
      </c>
      <c r="F488" s="49" t="n"/>
      <c r="G488" s="51">
        <f>IFERROR(VLOOKUP(D488,'Stock Master'!$A$2:$L$49,5,FALSE)*F488,0)</f>
        <v/>
      </c>
      <c r="H488" s="51" t="n"/>
      <c r="I488" s="52" t="n"/>
      <c r="J488" s="51">
        <f>IFERROR(G488-H488,0)</f>
        <v/>
      </c>
      <c r="K488" s="52" t="n"/>
      <c r="L488" s="49">
        <f>IF(A488="","",IF(J488&lt;=0,"Paid",IF(AND(K488&lt;TODAY(),K488&lt;&gt;""),"Overdue","Open")))</f>
        <v/>
      </c>
      <c r="M488" s="49" t="n"/>
    </row>
    <row r="489">
      <c r="A489" s="52" t="n"/>
      <c r="B489" s="49" t="n"/>
      <c r="C489" s="49" t="n"/>
      <c r="D489" s="49" t="n"/>
      <c r="E489" s="49">
        <f>IFERROR(VLOOKUP(D489,'Stock Master'!$A$2:$L$49,2,FALSE),"")</f>
        <v/>
      </c>
      <c r="F489" s="49" t="n"/>
      <c r="G489" s="51">
        <f>IFERROR(VLOOKUP(D489,'Stock Master'!$A$2:$L$49,5,FALSE)*F489,0)</f>
        <v/>
      </c>
      <c r="H489" s="51" t="n"/>
      <c r="I489" s="52" t="n"/>
      <c r="J489" s="51">
        <f>IFERROR(G489-H489,0)</f>
        <v/>
      </c>
      <c r="K489" s="52" t="n"/>
      <c r="L489" s="49">
        <f>IF(A489="","",IF(J489&lt;=0,"Paid",IF(AND(K489&lt;TODAY(),K489&lt;&gt;""),"Overdue","Open")))</f>
        <v/>
      </c>
      <c r="M489" s="49" t="n"/>
    </row>
    <row r="490">
      <c r="A490" s="52" t="n"/>
      <c r="B490" s="49" t="n"/>
      <c r="C490" s="49" t="n"/>
      <c r="D490" s="49" t="n"/>
      <c r="E490" s="49">
        <f>IFERROR(VLOOKUP(D490,'Stock Master'!$A$2:$L$49,2,FALSE),"")</f>
        <v/>
      </c>
      <c r="F490" s="49" t="n"/>
      <c r="G490" s="51">
        <f>IFERROR(VLOOKUP(D490,'Stock Master'!$A$2:$L$49,5,FALSE)*F490,0)</f>
        <v/>
      </c>
      <c r="H490" s="51" t="n"/>
      <c r="I490" s="52" t="n"/>
      <c r="J490" s="51">
        <f>IFERROR(G490-H490,0)</f>
        <v/>
      </c>
      <c r="K490" s="52" t="n"/>
      <c r="L490" s="49">
        <f>IF(A490="","",IF(J490&lt;=0,"Paid",IF(AND(K490&lt;TODAY(),K490&lt;&gt;""),"Overdue","Open")))</f>
        <v/>
      </c>
      <c r="M490" s="49" t="n"/>
    </row>
    <row r="491">
      <c r="A491" s="52" t="n"/>
      <c r="B491" s="49" t="n"/>
      <c r="C491" s="49" t="n"/>
      <c r="D491" s="49" t="n"/>
      <c r="E491" s="49">
        <f>IFERROR(VLOOKUP(D491,'Stock Master'!$A$2:$L$49,2,FALSE),"")</f>
        <v/>
      </c>
      <c r="F491" s="49" t="n"/>
      <c r="G491" s="51">
        <f>IFERROR(VLOOKUP(D491,'Stock Master'!$A$2:$L$49,5,FALSE)*F491,0)</f>
        <v/>
      </c>
      <c r="H491" s="51" t="n"/>
      <c r="I491" s="52" t="n"/>
      <c r="J491" s="51">
        <f>IFERROR(G491-H491,0)</f>
        <v/>
      </c>
      <c r="K491" s="52" t="n"/>
      <c r="L491" s="49">
        <f>IF(A491="","",IF(J491&lt;=0,"Paid",IF(AND(K491&lt;TODAY(),K491&lt;&gt;""),"Overdue","Open")))</f>
        <v/>
      </c>
      <c r="M491" s="49" t="n"/>
    </row>
    <row r="492">
      <c r="A492" s="52" t="n"/>
      <c r="B492" s="49" t="n"/>
      <c r="C492" s="49" t="n"/>
      <c r="D492" s="49" t="n"/>
      <c r="E492" s="49">
        <f>IFERROR(VLOOKUP(D492,'Stock Master'!$A$2:$L$49,2,FALSE),"")</f>
        <v/>
      </c>
      <c r="F492" s="49" t="n"/>
      <c r="G492" s="51">
        <f>IFERROR(VLOOKUP(D492,'Stock Master'!$A$2:$L$49,5,FALSE)*F492,0)</f>
        <v/>
      </c>
      <c r="H492" s="51" t="n"/>
      <c r="I492" s="52" t="n"/>
      <c r="J492" s="51">
        <f>IFERROR(G492-H492,0)</f>
        <v/>
      </c>
      <c r="K492" s="52" t="n"/>
      <c r="L492" s="49">
        <f>IF(A492="","",IF(J492&lt;=0,"Paid",IF(AND(K492&lt;TODAY(),K492&lt;&gt;""),"Overdue","Open")))</f>
        <v/>
      </c>
      <c r="M492" s="49" t="n"/>
    </row>
    <row r="493">
      <c r="A493" s="52" t="n"/>
      <c r="B493" s="49" t="n"/>
      <c r="C493" s="49" t="n"/>
      <c r="D493" s="49" t="n"/>
      <c r="E493" s="49">
        <f>IFERROR(VLOOKUP(D493,'Stock Master'!$A$2:$L$49,2,FALSE),"")</f>
        <v/>
      </c>
      <c r="F493" s="49" t="n"/>
      <c r="G493" s="51">
        <f>IFERROR(VLOOKUP(D493,'Stock Master'!$A$2:$L$49,5,FALSE)*F493,0)</f>
        <v/>
      </c>
      <c r="H493" s="51" t="n"/>
      <c r="I493" s="52" t="n"/>
      <c r="J493" s="51">
        <f>IFERROR(G493-H493,0)</f>
        <v/>
      </c>
      <c r="K493" s="52" t="n"/>
      <c r="L493" s="49">
        <f>IF(A493="","",IF(J493&lt;=0,"Paid",IF(AND(K493&lt;TODAY(),K493&lt;&gt;""),"Overdue","Open")))</f>
        <v/>
      </c>
      <c r="M493" s="49" t="n"/>
    </row>
    <row r="494">
      <c r="A494" s="52" t="n"/>
      <c r="B494" s="49" t="n"/>
      <c r="C494" s="49" t="n"/>
      <c r="D494" s="49" t="n"/>
      <c r="E494" s="49">
        <f>IFERROR(VLOOKUP(D494,'Stock Master'!$A$2:$L$49,2,FALSE),"")</f>
        <v/>
      </c>
      <c r="F494" s="49" t="n"/>
      <c r="G494" s="51">
        <f>IFERROR(VLOOKUP(D494,'Stock Master'!$A$2:$L$49,5,FALSE)*F494,0)</f>
        <v/>
      </c>
      <c r="H494" s="51" t="n"/>
      <c r="I494" s="52" t="n"/>
      <c r="J494" s="51">
        <f>IFERROR(G494-H494,0)</f>
        <v/>
      </c>
      <c r="K494" s="52" t="n"/>
      <c r="L494" s="49">
        <f>IF(A494="","",IF(J494&lt;=0,"Paid",IF(AND(K494&lt;TODAY(),K494&lt;&gt;""),"Overdue","Open")))</f>
        <v/>
      </c>
      <c r="M494" s="49" t="n"/>
    </row>
    <row r="495">
      <c r="A495" s="52" t="n"/>
      <c r="B495" s="49" t="n"/>
      <c r="C495" s="49" t="n"/>
      <c r="D495" s="49" t="n"/>
      <c r="E495" s="49">
        <f>IFERROR(VLOOKUP(D495,'Stock Master'!$A$2:$L$49,2,FALSE),"")</f>
        <v/>
      </c>
      <c r="F495" s="49" t="n"/>
      <c r="G495" s="51">
        <f>IFERROR(VLOOKUP(D495,'Stock Master'!$A$2:$L$49,5,FALSE)*F495,0)</f>
        <v/>
      </c>
      <c r="H495" s="51" t="n"/>
      <c r="I495" s="52" t="n"/>
      <c r="J495" s="51">
        <f>IFERROR(G495-H495,0)</f>
        <v/>
      </c>
      <c r="K495" s="52" t="n"/>
      <c r="L495" s="49">
        <f>IF(A495="","",IF(J495&lt;=0,"Paid",IF(AND(K495&lt;TODAY(),K495&lt;&gt;""),"Overdue","Open")))</f>
        <v/>
      </c>
      <c r="M495" s="49" t="n"/>
    </row>
    <row r="496">
      <c r="A496" s="52" t="n"/>
      <c r="B496" s="49" t="n"/>
      <c r="C496" s="49" t="n"/>
      <c r="D496" s="49" t="n"/>
      <c r="E496" s="49">
        <f>IFERROR(VLOOKUP(D496,'Stock Master'!$A$2:$L$49,2,FALSE),"")</f>
        <v/>
      </c>
      <c r="F496" s="49" t="n"/>
      <c r="G496" s="51">
        <f>IFERROR(VLOOKUP(D496,'Stock Master'!$A$2:$L$49,5,FALSE)*F496,0)</f>
        <v/>
      </c>
      <c r="H496" s="51" t="n"/>
      <c r="I496" s="52" t="n"/>
      <c r="J496" s="51">
        <f>IFERROR(G496-H496,0)</f>
        <v/>
      </c>
      <c r="K496" s="52" t="n"/>
      <c r="L496" s="49">
        <f>IF(A496="","",IF(J496&lt;=0,"Paid",IF(AND(K496&lt;TODAY(),K496&lt;&gt;""),"Overdue","Open")))</f>
        <v/>
      </c>
      <c r="M496" s="49" t="n"/>
    </row>
    <row r="497">
      <c r="A497" s="52" t="n"/>
      <c r="B497" s="49" t="n"/>
      <c r="C497" s="49" t="n"/>
      <c r="D497" s="49" t="n"/>
      <c r="E497" s="49">
        <f>IFERROR(VLOOKUP(D497,'Stock Master'!$A$2:$L$49,2,FALSE),"")</f>
        <v/>
      </c>
      <c r="F497" s="49" t="n"/>
      <c r="G497" s="51">
        <f>IFERROR(VLOOKUP(D497,'Stock Master'!$A$2:$L$49,5,FALSE)*F497,0)</f>
        <v/>
      </c>
      <c r="H497" s="51" t="n"/>
      <c r="I497" s="52" t="n"/>
      <c r="J497" s="51">
        <f>IFERROR(G497-H497,0)</f>
        <v/>
      </c>
      <c r="K497" s="52" t="n"/>
      <c r="L497" s="49">
        <f>IF(A497="","",IF(J497&lt;=0,"Paid",IF(AND(K497&lt;TODAY(),K497&lt;&gt;""),"Overdue","Open")))</f>
        <v/>
      </c>
      <c r="M497" s="49" t="n"/>
    </row>
    <row r="498">
      <c r="A498" s="52" t="n"/>
      <c r="B498" s="49" t="n"/>
      <c r="C498" s="49" t="n"/>
      <c r="D498" s="49" t="n"/>
      <c r="E498" s="49">
        <f>IFERROR(VLOOKUP(D498,'Stock Master'!$A$2:$L$49,2,FALSE),"")</f>
        <v/>
      </c>
      <c r="F498" s="49" t="n"/>
      <c r="G498" s="51">
        <f>IFERROR(VLOOKUP(D498,'Stock Master'!$A$2:$L$49,5,FALSE)*F498,0)</f>
        <v/>
      </c>
      <c r="H498" s="51" t="n"/>
      <c r="I498" s="52" t="n"/>
      <c r="J498" s="51">
        <f>IFERROR(G498-H498,0)</f>
        <v/>
      </c>
      <c r="K498" s="52" t="n"/>
      <c r="L498" s="49">
        <f>IF(A498="","",IF(J498&lt;=0,"Paid",IF(AND(K498&lt;TODAY(),K498&lt;&gt;""),"Overdue","Open")))</f>
        <v/>
      </c>
      <c r="M498" s="49" t="n"/>
    </row>
    <row r="499">
      <c r="A499" s="52" t="n"/>
      <c r="B499" s="49" t="n"/>
      <c r="C499" s="49" t="n"/>
      <c r="D499" s="49" t="n"/>
      <c r="E499" s="49">
        <f>IFERROR(VLOOKUP(D499,'Stock Master'!$A$2:$L$49,2,FALSE),"")</f>
        <v/>
      </c>
      <c r="F499" s="49" t="n"/>
      <c r="G499" s="51">
        <f>IFERROR(VLOOKUP(D499,'Stock Master'!$A$2:$L$49,5,FALSE)*F499,0)</f>
        <v/>
      </c>
      <c r="H499" s="51" t="n"/>
      <c r="I499" s="52" t="n"/>
      <c r="J499" s="51">
        <f>IFERROR(G499-H499,0)</f>
        <v/>
      </c>
      <c r="K499" s="52" t="n"/>
      <c r="L499" s="49">
        <f>IF(A499="","",IF(J499&lt;=0,"Paid",IF(AND(K499&lt;TODAY(),K499&lt;&gt;""),"Overdue","Open")))</f>
        <v/>
      </c>
      <c r="M499" s="49" t="n"/>
    </row>
    <row r="500">
      <c r="A500" s="52" t="n"/>
      <c r="B500" s="49" t="n"/>
      <c r="C500" s="49" t="n"/>
      <c r="D500" s="49" t="n"/>
      <c r="E500" s="49">
        <f>IFERROR(VLOOKUP(D500,'Stock Master'!$A$2:$L$49,2,FALSE),"")</f>
        <v/>
      </c>
      <c r="F500" s="49" t="n"/>
      <c r="G500" s="51">
        <f>IFERROR(VLOOKUP(D500,'Stock Master'!$A$2:$L$49,5,FALSE)*F500,0)</f>
        <v/>
      </c>
      <c r="H500" s="51" t="n"/>
      <c r="I500" s="52" t="n"/>
      <c r="J500" s="51">
        <f>IFERROR(G500-H500,0)</f>
        <v/>
      </c>
      <c r="K500" s="52" t="n"/>
      <c r="L500" s="49">
        <f>IF(A500="","",IF(J500&lt;=0,"Paid",IF(AND(K500&lt;TODAY(),K500&lt;&gt;""),"Overdue","Open")))</f>
        <v/>
      </c>
      <c r="M500" s="49" t="n"/>
    </row>
    <row r="501">
      <c r="A501" s="52" t="n"/>
      <c r="B501" s="49" t="n"/>
      <c r="C501" s="49" t="n"/>
      <c r="D501" s="49" t="n"/>
      <c r="E501" s="49">
        <f>IFERROR(VLOOKUP(D501,'Stock Master'!$A$2:$L$49,2,FALSE),"")</f>
        <v/>
      </c>
      <c r="F501" s="49" t="n"/>
      <c r="G501" s="51">
        <f>IFERROR(VLOOKUP(D501,'Stock Master'!$A$2:$L$49,5,FALSE)*F501,0)</f>
        <v/>
      </c>
      <c r="H501" s="51" t="n"/>
      <c r="I501" s="52" t="n"/>
      <c r="J501" s="51">
        <f>IFERROR(G501-H501,0)</f>
        <v/>
      </c>
      <c r="K501" s="52" t="n"/>
      <c r="L501" s="49">
        <f>IF(A501="","",IF(J501&lt;=0,"Paid",IF(AND(K501&lt;TODAY(),K501&lt;&gt;""),"Overdue","Open")))</f>
        <v/>
      </c>
      <c r="M501" s="49" t="n"/>
    </row>
  </sheetData>
  <dataValidations count="1">
    <dataValidation sqref="L2:L501" showDropDown="0" showInputMessage="0" showErrorMessage="0" allowBlank="1" type="list">
      <formula1>"Open,Paid,Overdue,Part-paid"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  <col width="12" customWidth="1" min="10" max="10"/>
    <col width="24" customWidth="1" min="11" max="11"/>
  </cols>
  <sheetData>
    <row r="1" ht="30" customHeight="1">
      <c r="A1" s="50" t="inlineStr">
        <is>
          <t>Date owed</t>
        </is>
      </c>
      <c r="B1" s="50" t="inlineStr">
        <is>
          <t>Creditor / supplier</t>
        </is>
      </c>
      <c r="C1" s="50" t="inlineStr">
        <is>
          <t>Description</t>
        </is>
      </c>
      <c r="D1" s="50" t="inlineStr">
        <is>
          <t>Invoice / Ref</t>
        </is>
      </c>
      <c r="E1" s="50" t="inlineStr">
        <is>
          <t>Amount owed RMB</t>
        </is>
      </c>
      <c r="F1" s="50" t="inlineStr">
        <is>
          <t>Amount paid RMB</t>
        </is>
      </c>
      <c r="G1" s="50" t="inlineStr">
        <is>
          <t>Payment date</t>
        </is>
      </c>
      <c r="H1" s="50" t="inlineStr">
        <is>
          <t>Balance RMB</t>
        </is>
      </c>
      <c r="I1" s="50" t="inlineStr">
        <is>
          <t>Due date</t>
        </is>
      </c>
      <c r="J1" s="50" t="inlineStr">
        <is>
          <t>Status</t>
        </is>
      </c>
      <c r="K1" s="50" t="inlineStr">
        <is>
          <t>Notes</t>
        </is>
      </c>
    </row>
    <row r="2">
      <c r="A2" s="52" t="n"/>
      <c r="B2" s="49" t="n"/>
      <c r="C2" s="49" t="n"/>
      <c r="D2" s="49" t="n"/>
      <c r="E2" s="51" t="n"/>
      <c r="F2" s="51" t="n"/>
      <c r="G2" s="52" t="n"/>
      <c r="H2" s="51">
        <f>IFERROR(E2-F2,0)</f>
        <v/>
      </c>
      <c r="I2" s="52" t="n"/>
      <c r="J2" s="49">
        <f>IF(A2="","",IF(H2&lt;=0,"Paid",IF(AND(I2&lt;TODAY(),I2&lt;&gt;""),"Overdue","Open")))</f>
        <v/>
      </c>
      <c r="K2" s="49" t="n"/>
    </row>
    <row r="3">
      <c r="A3" s="52" t="n"/>
      <c r="B3" s="49" t="n"/>
      <c r="C3" s="49" t="n"/>
      <c r="D3" s="49" t="n"/>
      <c r="E3" s="51" t="n"/>
      <c r="F3" s="51" t="n"/>
      <c r="G3" s="52" t="n"/>
      <c r="H3" s="51">
        <f>IFERROR(E3-F3,0)</f>
        <v/>
      </c>
      <c r="I3" s="52" t="n"/>
      <c r="J3" s="49">
        <f>IF(A3="","",IF(H3&lt;=0,"Paid",IF(AND(I3&lt;TODAY(),I3&lt;&gt;""),"Overdue","Open")))</f>
        <v/>
      </c>
      <c r="K3" s="49" t="n"/>
    </row>
    <row r="4">
      <c r="A4" s="52" t="n"/>
      <c r="B4" s="49" t="n"/>
      <c r="C4" s="49" t="n"/>
      <c r="D4" s="49" t="n"/>
      <c r="E4" s="51" t="n"/>
      <c r="F4" s="51" t="n"/>
      <c r="G4" s="52" t="n"/>
      <c r="H4" s="51">
        <f>IFERROR(E4-F4,0)</f>
        <v/>
      </c>
      <c r="I4" s="52" t="n"/>
      <c r="J4" s="49">
        <f>IF(A4="","",IF(H4&lt;=0,"Paid",IF(AND(I4&lt;TODAY(),I4&lt;&gt;""),"Overdue","Open")))</f>
        <v/>
      </c>
      <c r="K4" s="49" t="n"/>
    </row>
    <row r="5">
      <c r="A5" s="52" t="n"/>
      <c r="B5" s="49" t="n"/>
      <c r="C5" s="49" t="n"/>
      <c r="D5" s="49" t="n"/>
      <c r="E5" s="51" t="n"/>
      <c r="F5" s="51" t="n"/>
      <c r="G5" s="52" t="n"/>
      <c r="H5" s="51">
        <f>IFERROR(E5-F5,0)</f>
        <v/>
      </c>
      <c r="I5" s="52" t="n"/>
      <c r="J5" s="49">
        <f>IF(A5="","",IF(H5&lt;=0,"Paid",IF(AND(I5&lt;TODAY(),I5&lt;&gt;""),"Overdue","Open")))</f>
        <v/>
      </c>
      <c r="K5" s="49" t="n"/>
    </row>
    <row r="6">
      <c r="A6" s="52" t="n"/>
      <c r="B6" s="49" t="n"/>
      <c r="C6" s="49" t="n"/>
      <c r="D6" s="49" t="n"/>
      <c r="E6" s="51" t="n"/>
      <c r="F6" s="51" t="n"/>
      <c r="G6" s="52" t="n"/>
      <c r="H6" s="51">
        <f>IFERROR(E6-F6,0)</f>
        <v/>
      </c>
      <c r="I6" s="52" t="n"/>
      <c r="J6" s="49">
        <f>IF(A6="","",IF(H6&lt;=0,"Paid",IF(AND(I6&lt;TODAY(),I6&lt;&gt;""),"Overdue","Open")))</f>
        <v/>
      </c>
      <c r="K6" s="49" t="n"/>
    </row>
    <row r="7">
      <c r="A7" s="52" t="n"/>
      <c r="B7" s="49" t="n"/>
      <c r="C7" s="49" t="n"/>
      <c r="D7" s="49" t="n"/>
      <c r="E7" s="51" t="n"/>
      <c r="F7" s="51" t="n"/>
      <c r="G7" s="52" t="n"/>
      <c r="H7" s="51">
        <f>IFERROR(E7-F7,0)</f>
        <v/>
      </c>
      <c r="I7" s="52" t="n"/>
      <c r="J7" s="49">
        <f>IF(A7="","",IF(H7&lt;=0,"Paid",IF(AND(I7&lt;TODAY(),I7&lt;&gt;""),"Overdue","Open")))</f>
        <v/>
      </c>
      <c r="K7" s="49" t="n"/>
    </row>
    <row r="8">
      <c r="A8" s="52" t="n"/>
      <c r="B8" s="49" t="n"/>
      <c r="C8" s="49" t="n"/>
      <c r="D8" s="49" t="n"/>
      <c r="E8" s="51" t="n"/>
      <c r="F8" s="51" t="n"/>
      <c r="G8" s="52" t="n"/>
      <c r="H8" s="51">
        <f>IFERROR(E8-F8,0)</f>
        <v/>
      </c>
      <c r="I8" s="52" t="n"/>
      <c r="J8" s="49">
        <f>IF(A8="","",IF(H8&lt;=0,"Paid",IF(AND(I8&lt;TODAY(),I8&lt;&gt;""),"Overdue","Open")))</f>
        <v/>
      </c>
      <c r="K8" s="49" t="n"/>
    </row>
    <row r="9">
      <c r="A9" s="52" t="n"/>
      <c r="B9" s="49" t="n"/>
      <c r="C9" s="49" t="n"/>
      <c r="D9" s="49" t="n"/>
      <c r="E9" s="51" t="n"/>
      <c r="F9" s="51" t="n"/>
      <c r="G9" s="52" t="n"/>
      <c r="H9" s="51">
        <f>IFERROR(E9-F9,0)</f>
        <v/>
      </c>
      <c r="I9" s="52" t="n"/>
      <c r="J9" s="49">
        <f>IF(A9="","",IF(H9&lt;=0,"Paid",IF(AND(I9&lt;TODAY(),I9&lt;&gt;""),"Overdue","Open")))</f>
        <v/>
      </c>
      <c r="K9" s="49" t="n"/>
    </row>
    <row r="10">
      <c r="A10" s="52" t="n"/>
      <c r="B10" s="49" t="n"/>
      <c r="C10" s="49" t="n"/>
      <c r="D10" s="49" t="n"/>
      <c r="E10" s="51" t="n"/>
      <c r="F10" s="51" t="n"/>
      <c r="G10" s="52" t="n"/>
      <c r="H10" s="51">
        <f>IFERROR(E10-F10,0)</f>
        <v/>
      </c>
      <c r="I10" s="52" t="n"/>
      <c r="J10" s="49">
        <f>IF(A10="","",IF(H10&lt;=0,"Paid",IF(AND(I10&lt;TODAY(),I10&lt;&gt;""),"Overdue","Open")))</f>
        <v/>
      </c>
      <c r="K10" s="49" t="n"/>
    </row>
    <row r="11">
      <c r="A11" s="52" t="n"/>
      <c r="B11" s="49" t="n"/>
      <c r="C11" s="49" t="n"/>
      <c r="D11" s="49" t="n"/>
      <c r="E11" s="51" t="n"/>
      <c r="F11" s="51" t="n"/>
      <c r="G11" s="52" t="n"/>
      <c r="H11" s="51">
        <f>IFERROR(E11-F11,0)</f>
        <v/>
      </c>
      <c r="I11" s="52" t="n"/>
      <c r="J11" s="49">
        <f>IF(A11="","",IF(H11&lt;=0,"Paid",IF(AND(I11&lt;TODAY(),I11&lt;&gt;""),"Overdue","Open")))</f>
        <v/>
      </c>
      <c r="K11" s="49" t="n"/>
    </row>
    <row r="12">
      <c r="A12" s="52" t="n"/>
      <c r="B12" s="49" t="n"/>
      <c r="C12" s="49" t="n"/>
      <c r="D12" s="49" t="n"/>
      <c r="E12" s="51" t="n"/>
      <c r="F12" s="51" t="n"/>
      <c r="G12" s="52" t="n"/>
      <c r="H12" s="51">
        <f>IFERROR(E12-F12,0)</f>
        <v/>
      </c>
      <c r="I12" s="52" t="n"/>
      <c r="J12" s="49">
        <f>IF(A12="","",IF(H12&lt;=0,"Paid",IF(AND(I12&lt;TODAY(),I12&lt;&gt;""),"Overdue","Open")))</f>
        <v/>
      </c>
      <c r="K12" s="49" t="n"/>
    </row>
    <row r="13">
      <c r="A13" s="52" t="n"/>
      <c r="B13" s="49" t="n"/>
      <c r="C13" s="49" t="n"/>
      <c r="D13" s="49" t="n"/>
      <c r="E13" s="51" t="n"/>
      <c r="F13" s="51" t="n"/>
      <c r="G13" s="52" t="n"/>
      <c r="H13" s="51">
        <f>IFERROR(E13-F13,0)</f>
        <v/>
      </c>
      <c r="I13" s="52" t="n"/>
      <c r="J13" s="49">
        <f>IF(A13="","",IF(H13&lt;=0,"Paid",IF(AND(I13&lt;TODAY(),I13&lt;&gt;""),"Overdue","Open")))</f>
        <v/>
      </c>
      <c r="K13" s="49" t="n"/>
    </row>
    <row r="14">
      <c r="A14" s="52" t="n"/>
      <c r="B14" s="49" t="n"/>
      <c r="C14" s="49" t="n"/>
      <c r="D14" s="49" t="n"/>
      <c r="E14" s="51" t="n"/>
      <c r="F14" s="51" t="n"/>
      <c r="G14" s="52" t="n"/>
      <c r="H14" s="51">
        <f>IFERROR(E14-F14,0)</f>
        <v/>
      </c>
      <c r="I14" s="52" t="n"/>
      <c r="J14" s="49">
        <f>IF(A14="","",IF(H14&lt;=0,"Paid",IF(AND(I14&lt;TODAY(),I14&lt;&gt;""),"Overdue","Open")))</f>
        <v/>
      </c>
      <c r="K14" s="49" t="n"/>
    </row>
    <row r="15">
      <c r="A15" s="52" t="n"/>
      <c r="B15" s="49" t="n"/>
      <c r="C15" s="49" t="n"/>
      <c r="D15" s="49" t="n"/>
      <c r="E15" s="51" t="n"/>
      <c r="F15" s="51" t="n"/>
      <c r="G15" s="52" t="n"/>
      <c r="H15" s="51">
        <f>IFERROR(E15-F15,0)</f>
        <v/>
      </c>
      <c r="I15" s="52" t="n"/>
      <c r="J15" s="49">
        <f>IF(A15="","",IF(H15&lt;=0,"Paid",IF(AND(I15&lt;TODAY(),I15&lt;&gt;""),"Overdue","Open")))</f>
        <v/>
      </c>
      <c r="K15" s="49" t="n"/>
    </row>
    <row r="16">
      <c r="A16" s="52" t="n"/>
      <c r="B16" s="49" t="n"/>
      <c r="C16" s="49" t="n"/>
      <c r="D16" s="49" t="n"/>
      <c r="E16" s="51" t="n"/>
      <c r="F16" s="51" t="n"/>
      <c r="G16" s="52" t="n"/>
      <c r="H16" s="51">
        <f>IFERROR(E16-F16,0)</f>
        <v/>
      </c>
      <c r="I16" s="52" t="n"/>
      <c r="J16" s="49">
        <f>IF(A16="","",IF(H16&lt;=0,"Paid",IF(AND(I16&lt;TODAY(),I16&lt;&gt;""),"Overdue","Open")))</f>
        <v/>
      </c>
      <c r="K16" s="49" t="n"/>
    </row>
    <row r="17">
      <c r="A17" s="52" t="n"/>
      <c r="B17" s="49" t="n"/>
      <c r="C17" s="49" t="n"/>
      <c r="D17" s="49" t="n"/>
      <c r="E17" s="51" t="n"/>
      <c r="F17" s="51" t="n"/>
      <c r="G17" s="52" t="n"/>
      <c r="H17" s="51">
        <f>IFERROR(E17-F17,0)</f>
        <v/>
      </c>
      <c r="I17" s="52" t="n"/>
      <c r="J17" s="49">
        <f>IF(A17="","",IF(H17&lt;=0,"Paid",IF(AND(I17&lt;TODAY(),I17&lt;&gt;""),"Overdue","Open")))</f>
        <v/>
      </c>
      <c r="K17" s="49" t="n"/>
    </row>
    <row r="18">
      <c r="A18" s="52" t="n"/>
      <c r="B18" s="49" t="n"/>
      <c r="C18" s="49" t="n"/>
      <c r="D18" s="49" t="n"/>
      <c r="E18" s="51" t="n"/>
      <c r="F18" s="51" t="n"/>
      <c r="G18" s="52" t="n"/>
      <c r="H18" s="51">
        <f>IFERROR(E18-F18,0)</f>
        <v/>
      </c>
      <c r="I18" s="52" t="n"/>
      <c r="J18" s="49">
        <f>IF(A18="","",IF(H18&lt;=0,"Paid",IF(AND(I18&lt;TODAY(),I18&lt;&gt;""),"Overdue","Open")))</f>
        <v/>
      </c>
      <c r="K18" s="49" t="n"/>
    </row>
    <row r="19">
      <c r="A19" s="52" t="n"/>
      <c r="B19" s="49" t="n"/>
      <c r="C19" s="49" t="n"/>
      <c r="D19" s="49" t="n"/>
      <c r="E19" s="51" t="n"/>
      <c r="F19" s="51" t="n"/>
      <c r="G19" s="52" t="n"/>
      <c r="H19" s="51">
        <f>IFERROR(E19-F19,0)</f>
        <v/>
      </c>
      <c r="I19" s="52" t="n"/>
      <c r="J19" s="49">
        <f>IF(A19="","",IF(H19&lt;=0,"Paid",IF(AND(I19&lt;TODAY(),I19&lt;&gt;""),"Overdue","Open")))</f>
        <v/>
      </c>
      <c r="K19" s="49" t="n"/>
    </row>
    <row r="20">
      <c r="A20" s="52" t="n"/>
      <c r="B20" s="49" t="n"/>
      <c r="C20" s="49" t="n"/>
      <c r="D20" s="49" t="n"/>
      <c r="E20" s="51" t="n"/>
      <c r="F20" s="51" t="n"/>
      <c r="G20" s="52" t="n"/>
      <c r="H20" s="51">
        <f>IFERROR(E20-F20,0)</f>
        <v/>
      </c>
      <c r="I20" s="52" t="n"/>
      <c r="J20" s="49">
        <f>IF(A20="","",IF(H20&lt;=0,"Paid",IF(AND(I20&lt;TODAY(),I20&lt;&gt;""),"Overdue","Open")))</f>
        <v/>
      </c>
      <c r="K20" s="49" t="n"/>
    </row>
    <row r="21">
      <c r="A21" s="52" t="n"/>
      <c r="B21" s="49" t="n"/>
      <c r="C21" s="49" t="n"/>
      <c r="D21" s="49" t="n"/>
      <c r="E21" s="51" t="n"/>
      <c r="F21" s="51" t="n"/>
      <c r="G21" s="52" t="n"/>
      <c r="H21" s="51">
        <f>IFERROR(E21-F21,0)</f>
        <v/>
      </c>
      <c r="I21" s="52" t="n"/>
      <c r="J21" s="49">
        <f>IF(A21="","",IF(H21&lt;=0,"Paid",IF(AND(I21&lt;TODAY(),I21&lt;&gt;""),"Overdue","Open")))</f>
        <v/>
      </c>
      <c r="K21" s="49" t="n"/>
    </row>
    <row r="22">
      <c r="A22" s="52" t="n"/>
      <c r="B22" s="49" t="n"/>
      <c r="C22" s="49" t="n"/>
      <c r="D22" s="49" t="n"/>
      <c r="E22" s="51" t="n"/>
      <c r="F22" s="51" t="n"/>
      <c r="G22" s="52" t="n"/>
      <c r="H22" s="51">
        <f>IFERROR(E22-F22,0)</f>
        <v/>
      </c>
      <c r="I22" s="52" t="n"/>
      <c r="J22" s="49">
        <f>IF(A22="","",IF(H22&lt;=0,"Paid",IF(AND(I22&lt;TODAY(),I22&lt;&gt;""),"Overdue","Open")))</f>
        <v/>
      </c>
      <c r="K22" s="49" t="n"/>
    </row>
    <row r="23">
      <c r="A23" s="52" t="n"/>
      <c r="B23" s="49" t="n"/>
      <c r="C23" s="49" t="n"/>
      <c r="D23" s="49" t="n"/>
      <c r="E23" s="51" t="n"/>
      <c r="F23" s="51" t="n"/>
      <c r="G23" s="52" t="n"/>
      <c r="H23" s="51">
        <f>IFERROR(E23-F23,0)</f>
        <v/>
      </c>
      <c r="I23" s="52" t="n"/>
      <c r="J23" s="49">
        <f>IF(A23="","",IF(H23&lt;=0,"Paid",IF(AND(I23&lt;TODAY(),I23&lt;&gt;""),"Overdue","Open")))</f>
        <v/>
      </c>
      <c r="K23" s="49" t="n"/>
    </row>
    <row r="24">
      <c r="A24" s="52" t="n"/>
      <c r="B24" s="49" t="n"/>
      <c r="C24" s="49" t="n"/>
      <c r="D24" s="49" t="n"/>
      <c r="E24" s="51" t="n"/>
      <c r="F24" s="51" t="n"/>
      <c r="G24" s="52" t="n"/>
      <c r="H24" s="51">
        <f>IFERROR(E24-F24,0)</f>
        <v/>
      </c>
      <c r="I24" s="52" t="n"/>
      <c r="J24" s="49">
        <f>IF(A24="","",IF(H24&lt;=0,"Paid",IF(AND(I24&lt;TODAY(),I24&lt;&gt;""),"Overdue","Open")))</f>
        <v/>
      </c>
      <c r="K24" s="49" t="n"/>
    </row>
    <row r="25">
      <c r="A25" s="52" t="n"/>
      <c r="B25" s="49" t="n"/>
      <c r="C25" s="49" t="n"/>
      <c r="D25" s="49" t="n"/>
      <c r="E25" s="51" t="n"/>
      <c r="F25" s="51" t="n"/>
      <c r="G25" s="52" t="n"/>
      <c r="H25" s="51">
        <f>IFERROR(E25-F25,0)</f>
        <v/>
      </c>
      <c r="I25" s="52" t="n"/>
      <c r="J25" s="49">
        <f>IF(A25="","",IF(H25&lt;=0,"Paid",IF(AND(I25&lt;TODAY(),I25&lt;&gt;""),"Overdue","Open")))</f>
        <v/>
      </c>
      <c r="K25" s="49" t="n"/>
    </row>
    <row r="26">
      <c r="A26" s="52" t="n"/>
      <c r="B26" s="49" t="n"/>
      <c r="C26" s="49" t="n"/>
      <c r="D26" s="49" t="n"/>
      <c r="E26" s="51" t="n"/>
      <c r="F26" s="51" t="n"/>
      <c r="G26" s="52" t="n"/>
      <c r="H26" s="51">
        <f>IFERROR(E26-F26,0)</f>
        <v/>
      </c>
      <c r="I26" s="52" t="n"/>
      <c r="J26" s="49">
        <f>IF(A26="","",IF(H26&lt;=0,"Paid",IF(AND(I26&lt;TODAY(),I26&lt;&gt;""),"Overdue","Open")))</f>
        <v/>
      </c>
      <c r="K26" s="49" t="n"/>
    </row>
    <row r="27">
      <c r="A27" s="52" t="n"/>
      <c r="B27" s="49" t="n"/>
      <c r="C27" s="49" t="n"/>
      <c r="D27" s="49" t="n"/>
      <c r="E27" s="51" t="n"/>
      <c r="F27" s="51" t="n"/>
      <c r="G27" s="52" t="n"/>
      <c r="H27" s="51">
        <f>IFERROR(E27-F27,0)</f>
        <v/>
      </c>
      <c r="I27" s="52" t="n"/>
      <c r="J27" s="49">
        <f>IF(A27="","",IF(H27&lt;=0,"Paid",IF(AND(I27&lt;TODAY(),I27&lt;&gt;""),"Overdue","Open")))</f>
        <v/>
      </c>
      <c r="K27" s="49" t="n"/>
    </row>
    <row r="28">
      <c r="A28" s="52" t="n"/>
      <c r="B28" s="49" t="n"/>
      <c r="C28" s="49" t="n"/>
      <c r="D28" s="49" t="n"/>
      <c r="E28" s="51" t="n"/>
      <c r="F28" s="51" t="n"/>
      <c r="G28" s="52" t="n"/>
      <c r="H28" s="51">
        <f>IFERROR(E28-F28,0)</f>
        <v/>
      </c>
      <c r="I28" s="52" t="n"/>
      <c r="J28" s="49">
        <f>IF(A28="","",IF(H28&lt;=0,"Paid",IF(AND(I28&lt;TODAY(),I28&lt;&gt;""),"Overdue","Open")))</f>
        <v/>
      </c>
      <c r="K28" s="49" t="n"/>
    </row>
    <row r="29">
      <c r="A29" s="52" t="n"/>
      <c r="B29" s="49" t="n"/>
      <c r="C29" s="49" t="n"/>
      <c r="D29" s="49" t="n"/>
      <c r="E29" s="51" t="n"/>
      <c r="F29" s="51" t="n"/>
      <c r="G29" s="52" t="n"/>
      <c r="H29" s="51">
        <f>IFERROR(E29-F29,0)</f>
        <v/>
      </c>
      <c r="I29" s="52" t="n"/>
      <c r="J29" s="49">
        <f>IF(A29="","",IF(H29&lt;=0,"Paid",IF(AND(I29&lt;TODAY(),I29&lt;&gt;""),"Overdue","Open")))</f>
        <v/>
      </c>
      <c r="K29" s="49" t="n"/>
    </row>
    <row r="30">
      <c r="A30" s="52" t="n"/>
      <c r="B30" s="49" t="n"/>
      <c r="C30" s="49" t="n"/>
      <c r="D30" s="49" t="n"/>
      <c r="E30" s="51" t="n"/>
      <c r="F30" s="51" t="n"/>
      <c r="G30" s="52" t="n"/>
      <c r="H30" s="51">
        <f>IFERROR(E30-F30,0)</f>
        <v/>
      </c>
      <c r="I30" s="52" t="n"/>
      <c r="J30" s="49">
        <f>IF(A30="","",IF(H30&lt;=0,"Paid",IF(AND(I30&lt;TODAY(),I30&lt;&gt;""),"Overdue","Open")))</f>
        <v/>
      </c>
      <c r="K30" s="49" t="n"/>
    </row>
    <row r="31">
      <c r="A31" s="52" t="n"/>
      <c r="B31" s="49" t="n"/>
      <c r="C31" s="49" t="n"/>
      <c r="D31" s="49" t="n"/>
      <c r="E31" s="51" t="n"/>
      <c r="F31" s="51" t="n"/>
      <c r="G31" s="52" t="n"/>
      <c r="H31" s="51">
        <f>IFERROR(E31-F31,0)</f>
        <v/>
      </c>
      <c r="I31" s="52" t="n"/>
      <c r="J31" s="49">
        <f>IF(A31="","",IF(H31&lt;=0,"Paid",IF(AND(I31&lt;TODAY(),I31&lt;&gt;""),"Overdue","Open")))</f>
        <v/>
      </c>
      <c r="K31" s="49" t="n"/>
    </row>
    <row r="32">
      <c r="A32" s="52" t="n"/>
      <c r="B32" s="49" t="n"/>
      <c r="C32" s="49" t="n"/>
      <c r="D32" s="49" t="n"/>
      <c r="E32" s="51" t="n"/>
      <c r="F32" s="51" t="n"/>
      <c r="G32" s="52" t="n"/>
      <c r="H32" s="51">
        <f>IFERROR(E32-F32,0)</f>
        <v/>
      </c>
      <c r="I32" s="52" t="n"/>
      <c r="J32" s="49">
        <f>IF(A32="","",IF(H32&lt;=0,"Paid",IF(AND(I32&lt;TODAY(),I32&lt;&gt;""),"Overdue","Open")))</f>
        <v/>
      </c>
      <c r="K32" s="49" t="n"/>
    </row>
    <row r="33">
      <c r="A33" s="52" t="n"/>
      <c r="B33" s="49" t="n"/>
      <c r="C33" s="49" t="n"/>
      <c r="D33" s="49" t="n"/>
      <c r="E33" s="51" t="n"/>
      <c r="F33" s="51" t="n"/>
      <c r="G33" s="52" t="n"/>
      <c r="H33" s="51">
        <f>IFERROR(E33-F33,0)</f>
        <v/>
      </c>
      <c r="I33" s="52" t="n"/>
      <c r="J33" s="49">
        <f>IF(A33="","",IF(H33&lt;=0,"Paid",IF(AND(I33&lt;TODAY(),I33&lt;&gt;""),"Overdue","Open")))</f>
        <v/>
      </c>
      <c r="K33" s="49" t="n"/>
    </row>
    <row r="34">
      <c r="A34" s="52" t="n"/>
      <c r="B34" s="49" t="n"/>
      <c r="C34" s="49" t="n"/>
      <c r="D34" s="49" t="n"/>
      <c r="E34" s="51" t="n"/>
      <c r="F34" s="51" t="n"/>
      <c r="G34" s="52" t="n"/>
      <c r="H34" s="51">
        <f>IFERROR(E34-F34,0)</f>
        <v/>
      </c>
      <c r="I34" s="52" t="n"/>
      <c r="J34" s="49">
        <f>IF(A34="","",IF(H34&lt;=0,"Paid",IF(AND(I34&lt;TODAY(),I34&lt;&gt;""),"Overdue","Open")))</f>
        <v/>
      </c>
      <c r="K34" s="49" t="n"/>
    </row>
    <row r="35">
      <c r="A35" s="52" t="n"/>
      <c r="B35" s="49" t="n"/>
      <c r="C35" s="49" t="n"/>
      <c r="D35" s="49" t="n"/>
      <c r="E35" s="51" t="n"/>
      <c r="F35" s="51" t="n"/>
      <c r="G35" s="52" t="n"/>
      <c r="H35" s="51">
        <f>IFERROR(E35-F35,0)</f>
        <v/>
      </c>
      <c r="I35" s="52" t="n"/>
      <c r="J35" s="49">
        <f>IF(A35="","",IF(H35&lt;=0,"Paid",IF(AND(I35&lt;TODAY(),I35&lt;&gt;""),"Overdue","Open")))</f>
        <v/>
      </c>
      <c r="K35" s="49" t="n"/>
    </row>
    <row r="36">
      <c r="A36" s="52" t="n"/>
      <c r="B36" s="49" t="n"/>
      <c r="C36" s="49" t="n"/>
      <c r="D36" s="49" t="n"/>
      <c r="E36" s="51" t="n"/>
      <c r="F36" s="51" t="n"/>
      <c r="G36" s="52" t="n"/>
      <c r="H36" s="51">
        <f>IFERROR(E36-F36,0)</f>
        <v/>
      </c>
      <c r="I36" s="52" t="n"/>
      <c r="J36" s="49">
        <f>IF(A36="","",IF(H36&lt;=0,"Paid",IF(AND(I36&lt;TODAY(),I36&lt;&gt;""),"Overdue","Open")))</f>
        <v/>
      </c>
      <c r="K36" s="49" t="n"/>
    </row>
    <row r="37">
      <c r="A37" s="52" t="n"/>
      <c r="B37" s="49" t="n"/>
      <c r="C37" s="49" t="n"/>
      <c r="D37" s="49" t="n"/>
      <c r="E37" s="51" t="n"/>
      <c r="F37" s="51" t="n"/>
      <c r="G37" s="52" t="n"/>
      <c r="H37" s="51">
        <f>IFERROR(E37-F37,0)</f>
        <v/>
      </c>
      <c r="I37" s="52" t="n"/>
      <c r="J37" s="49">
        <f>IF(A37="","",IF(H37&lt;=0,"Paid",IF(AND(I37&lt;TODAY(),I37&lt;&gt;""),"Overdue","Open")))</f>
        <v/>
      </c>
      <c r="K37" s="49" t="n"/>
    </row>
    <row r="38">
      <c r="A38" s="52" t="n"/>
      <c r="B38" s="49" t="n"/>
      <c r="C38" s="49" t="n"/>
      <c r="D38" s="49" t="n"/>
      <c r="E38" s="51" t="n"/>
      <c r="F38" s="51" t="n"/>
      <c r="G38" s="52" t="n"/>
      <c r="H38" s="51">
        <f>IFERROR(E38-F38,0)</f>
        <v/>
      </c>
      <c r="I38" s="52" t="n"/>
      <c r="J38" s="49">
        <f>IF(A38="","",IF(H38&lt;=0,"Paid",IF(AND(I38&lt;TODAY(),I38&lt;&gt;""),"Overdue","Open")))</f>
        <v/>
      </c>
      <c r="K38" s="49" t="n"/>
    </row>
    <row r="39">
      <c r="A39" s="52" t="n"/>
      <c r="B39" s="49" t="n"/>
      <c r="C39" s="49" t="n"/>
      <c r="D39" s="49" t="n"/>
      <c r="E39" s="51" t="n"/>
      <c r="F39" s="51" t="n"/>
      <c r="G39" s="52" t="n"/>
      <c r="H39" s="51">
        <f>IFERROR(E39-F39,0)</f>
        <v/>
      </c>
      <c r="I39" s="52" t="n"/>
      <c r="J39" s="49">
        <f>IF(A39="","",IF(H39&lt;=0,"Paid",IF(AND(I39&lt;TODAY(),I39&lt;&gt;""),"Overdue","Open")))</f>
        <v/>
      </c>
      <c r="K39" s="49" t="n"/>
    </row>
    <row r="40">
      <c r="A40" s="52" t="n"/>
      <c r="B40" s="49" t="n"/>
      <c r="C40" s="49" t="n"/>
      <c r="D40" s="49" t="n"/>
      <c r="E40" s="51" t="n"/>
      <c r="F40" s="51" t="n"/>
      <c r="G40" s="52" t="n"/>
      <c r="H40" s="51">
        <f>IFERROR(E40-F40,0)</f>
        <v/>
      </c>
      <c r="I40" s="52" t="n"/>
      <c r="J40" s="49">
        <f>IF(A40="","",IF(H40&lt;=0,"Paid",IF(AND(I40&lt;TODAY(),I40&lt;&gt;""),"Overdue","Open")))</f>
        <v/>
      </c>
      <c r="K40" s="49" t="n"/>
    </row>
    <row r="41">
      <c r="A41" s="52" t="n"/>
      <c r="B41" s="49" t="n"/>
      <c r="C41" s="49" t="n"/>
      <c r="D41" s="49" t="n"/>
      <c r="E41" s="51" t="n"/>
      <c r="F41" s="51" t="n"/>
      <c r="G41" s="52" t="n"/>
      <c r="H41" s="51">
        <f>IFERROR(E41-F41,0)</f>
        <v/>
      </c>
      <c r="I41" s="52" t="n"/>
      <c r="J41" s="49">
        <f>IF(A41="","",IF(H41&lt;=0,"Paid",IF(AND(I41&lt;TODAY(),I41&lt;&gt;""),"Overdue","Open")))</f>
        <v/>
      </c>
      <c r="K41" s="49" t="n"/>
    </row>
    <row r="42">
      <c r="A42" s="52" t="n"/>
      <c r="B42" s="49" t="n"/>
      <c r="C42" s="49" t="n"/>
      <c r="D42" s="49" t="n"/>
      <c r="E42" s="51" t="n"/>
      <c r="F42" s="51" t="n"/>
      <c r="G42" s="52" t="n"/>
      <c r="H42" s="51">
        <f>IFERROR(E42-F42,0)</f>
        <v/>
      </c>
      <c r="I42" s="52" t="n"/>
      <c r="J42" s="49">
        <f>IF(A42="","",IF(H42&lt;=0,"Paid",IF(AND(I42&lt;TODAY(),I42&lt;&gt;""),"Overdue","Open")))</f>
        <v/>
      </c>
      <c r="K42" s="49" t="n"/>
    </row>
    <row r="43">
      <c r="A43" s="52" t="n"/>
      <c r="B43" s="49" t="n"/>
      <c r="C43" s="49" t="n"/>
      <c r="D43" s="49" t="n"/>
      <c r="E43" s="51" t="n"/>
      <c r="F43" s="51" t="n"/>
      <c r="G43" s="52" t="n"/>
      <c r="H43" s="51">
        <f>IFERROR(E43-F43,0)</f>
        <v/>
      </c>
      <c r="I43" s="52" t="n"/>
      <c r="J43" s="49">
        <f>IF(A43="","",IF(H43&lt;=0,"Paid",IF(AND(I43&lt;TODAY(),I43&lt;&gt;""),"Overdue","Open")))</f>
        <v/>
      </c>
      <c r="K43" s="49" t="n"/>
    </row>
    <row r="44">
      <c r="A44" s="52" t="n"/>
      <c r="B44" s="49" t="n"/>
      <c r="C44" s="49" t="n"/>
      <c r="D44" s="49" t="n"/>
      <c r="E44" s="51" t="n"/>
      <c r="F44" s="51" t="n"/>
      <c r="G44" s="52" t="n"/>
      <c r="H44" s="51">
        <f>IFERROR(E44-F44,0)</f>
        <v/>
      </c>
      <c r="I44" s="52" t="n"/>
      <c r="J44" s="49">
        <f>IF(A44="","",IF(H44&lt;=0,"Paid",IF(AND(I44&lt;TODAY(),I44&lt;&gt;""),"Overdue","Open")))</f>
        <v/>
      </c>
      <c r="K44" s="49" t="n"/>
    </row>
    <row r="45">
      <c r="A45" s="52" t="n"/>
      <c r="B45" s="49" t="n"/>
      <c r="C45" s="49" t="n"/>
      <c r="D45" s="49" t="n"/>
      <c r="E45" s="51" t="n"/>
      <c r="F45" s="51" t="n"/>
      <c r="G45" s="52" t="n"/>
      <c r="H45" s="51">
        <f>IFERROR(E45-F45,0)</f>
        <v/>
      </c>
      <c r="I45" s="52" t="n"/>
      <c r="J45" s="49">
        <f>IF(A45="","",IF(H45&lt;=0,"Paid",IF(AND(I45&lt;TODAY(),I45&lt;&gt;""),"Overdue","Open")))</f>
        <v/>
      </c>
      <c r="K45" s="49" t="n"/>
    </row>
    <row r="46">
      <c r="A46" s="52" t="n"/>
      <c r="B46" s="49" t="n"/>
      <c r="C46" s="49" t="n"/>
      <c r="D46" s="49" t="n"/>
      <c r="E46" s="51" t="n"/>
      <c r="F46" s="51" t="n"/>
      <c r="G46" s="52" t="n"/>
      <c r="H46" s="51">
        <f>IFERROR(E46-F46,0)</f>
        <v/>
      </c>
      <c r="I46" s="52" t="n"/>
      <c r="J46" s="49">
        <f>IF(A46="","",IF(H46&lt;=0,"Paid",IF(AND(I46&lt;TODAY(),I46&lt;&gt;""),"Overdue","Open")))</f>
        <v/>
      </c>
      <c r="K46" s="49" t="n"/>
    </row>
    <row r="47">
      <c r="A47" s="52" t="n"/>
      <c r="B47" s="49" t="n"/>
      <c r="C47" s="49" t="n"/>
      <c r="D47" s="49" t="n"/>
      <c r="E47" s="51" t="n"/>
      <c r="F47" s="51" t="n"/>
      <c r="G47" s="52" t="n"/>
      <c r="H47" s="51">
        <f>IFERROR(E47-F47,0)</f>
        <v/>
      </c>
      <c r="I47" s="52" t="n"/>
      <c r="J47" s="49">
        <f>IF(A47="","",IF(H47&lt;=0,"Paid",IF(AND(I47&lt;TODAY(),I47&lt;&gt;""),"Overdue","Open")))</f>
        <v/>
      </c>
      <c r="K47" s="49" t="n"/>
    </row>
    <row r="48">
      <c r="A48" s="52" t="n"/>
      <c r="B48" s="49" t="n"/>
      <c r="C48" s="49" t="n"/>
      <c r="D48" s="49" t="n"/>
      <c r="E48" s="51" t="n"/>
      <c r="F48" s="51" t="n"/>
      <c r="G48" s="52" t="n"/>
      <c r="H48" s="51">
        <f>IFERROR(E48-F48,0)</f>
        <v/>
      </c>
      <c r="I48" s="52" t="n"/>
      <c r="J48" s="49">
        <f>IF(A48="","",IF(H48&lt;=0,"Paid",IF(AND(I48&lt;TODAY(),I48&lt;&gt;""),"Overdue","Open")))</f>
        <v/>
      </c>
      <c r="K48" s="49" t="n"/>
    </row>
    <row r="49">
      <c r="A49" s="52" t="n"/>
      <c r="B49" s="49" t="n"/>
      <c r="C49" s="49" t="n"/>
      <c r="D49" s="49" t="n"/>
      <c r="E49" s="51" t="n"/>
      <c r="F49" s="51" t="n"/>
      <c r="G49" s="52" t="n"/>
      <c r="H49" s="51">
        <f>IFERROR(E49-F49,0)</f>
        <v/>
      </c>
      <c r="I49" s="52" t="n"/>
      <c r="J49" s="49">
        <f>IF(A49="","",IF(H49&lt;=0,"Paid",IF(AND(I49&lt;TODAY(),I49&lt;&gt;""),"Overdue","Open")))</f>
        <v/>
      </c>
      <c r="K49" s="49" t="n"/>
    </row>
    <row r="50">
      <c r="A50" s="52" t="n"/>
      <c r="B50" s="49" t="n"/>
      <c r="C50" s="49" t="n"/>
      <c r="D50" s="49" t="n"/>
      <c r="E50" s="51" t="n"/>
      <c r="F50" s="51" t="n"/>
      <c r="G50" s="52" t="n"/>
      <c r="H50" s="51">
        <f>IFERROR(E50-F50,0)</f>
        <v/>
      </c>
      <c r="I50" s="52" t="n"/>
      <c r="J50" s="49">
        <f>IF(A50="","",IF(H50&lt;=0,"Paid",IF(AND(I50&lt;TODAY(),I50&lt;&gt;""),"Overdue","Open")))</f>
        <v/>
      </c>
      <c r="K50" s="49" t="n"/>
    </row>
    <row r="51">
      <c r="A51" s="52" t="n"/>
      <c r="B51" s="49" t="n"/>
      <c r="C51" s="49" t="n"/>
      <c r="D51" s="49" t="n"/>
      <c r="E51" s="51" t="n"/>
      <c r="F51" s="51" t="n"/>
      <c r="G51" s="52" t="n"/>
      <c r="H51" s="51">
        <f>IFERROR(E51-F51,0)</f>
        <v/>
      </c>
      <c r="I51" s="52" t="n"/>
      <c r="J51" s="49">
        <f>IF(A51="","",IF(H51&lt;=0,"Paid",IF(AND(I51&lt;TODAY(),I51&lt;&gt;""),"Overdue","Open")))</f>
        <v/>
      </c>
      <c r="K51" s="49" t="n"/>
    </row>
    <row r="52">
      <c r="A52" s="52" t="n"/>
      <c r="B52" s="49" t="n"/>
      <c r="C52" s="49" t="n"/>
      <c r="D52" s="49" t="n"/>
      <c r="E52" s="51" t="n"/>
      <c r="F52" s="51" t="n"/>
      <c r="G52" s="52" t="n"/>
      <c r="H52" s="51">
        <f>IFERROR(E52-F52,0)</f>
        <v/>
      </c>
      <c r="I52" s="52" t="n"/>
      <c r="J52" s="49">
        <f>IF(A52="","",IF(H52&lt;=0,"Paid",IF(AND(I52&lt;TODAY(),I52&lt;&gt;""),"Overdue","Open")))</f>
        <v/>
      </c>
      <c r="K52" s="49" t="n"/>
    </row>
    <row r="53">
      <c r="A53" s="52" t="n"/>
      <c r="B53" s="49" t="n"/>
      <c r="C53" s="49" t="n"/>
      <c r="D53" s="49" t="n"/>
      <c r="E53" s="51" t="n"/>
      <c r="F53" s="51" t="n"/>
      <c r="G53" s="52" t="n"/>
      <c r="H53" s="51">
        <f>IFERROR(E53-F53,0)</f>
        <v/>
      </c>
      <c r="I53" s="52" t="n"/>
      <c r="J53" s="49">
        <f>IF(A53="","",IF(H53&lt;=0,"Paid",IF(AND(I53&lt;TODAY(),I53&lt;&gt;""),"Overdue","Open")))</f>
        <v/>
      </c>
      <c r="K53" s="49" t="n"/>
    </row>
    <row r="54">
      <c r="A54" s="52" t="n"/>
      <c r="B54" s="49" t="n"/>
      <c r="C54" s="49" t="n"/>
      <c r="D54" s="49" t="n"/>
      <c r="E54" s="51" t="n"/>
      <c r="F54" s="51" t="n"/>
      <c r="G54" s="52" t="n"/>
      <c r="H54" s="51">
        <f>IFERROR(E54-F54,0)</f>
        <v/>
      </c>
      <c r="I54" s="52" t="n"/>
      <c r="J54" s="49">
        <f>IF(A54="","",IF(H54&lt;=0,"Paid",IF(AND(I54&lt;TODAY(),I54&lt;&gt;""),"Overdue","Open")))</f>
        <v/>
      </c>
      <c r="K54" s="49" t="n"/>
    </row>
    <row r="55">
      <c r="A55" s="52" t="n"/>
      <c r="B55" s="49" t="n"/>
      <c r="C55" s="49" t="n"/>
      <c r="D55" s="49" t="n"/>
      <c r="E55" s="51" t="n"/>
      <c r="F55" s="51" t="n"/>
      <c r="G55" s="52" t="n"/>
      <c r="H55" s="51">
        <f>IFERROR(E55-F55,0)</f>
        <v/>
      </c>
      <c r="I55" s="52" t="n"/>
      <c r="J55" s="49">
        <f>IF(A55="","",IF(H55&lt;=0,"Paid",IF(AND(I55&lt;TODAY(),I55&lt;&gt;""),"Overdue","Open")))</f>
        <v/>
      </c>
      <c r="K55" s="49" t="n"/>
    </row>
    <row r="56">
      <c r="A56" s="52" t="n"/>
      <c r="B56" s="49" t="n"/>
      <c r="C56" s="49" t="n"/>
      <c r="D56" s="49" t="n"/>
      <c r="E56" s="51" t="n"/>
      <c r="F56" s="51" t="n"/>
      <c r="G56" s="52" t="n"/>
      <c r="H56" s="51">
        <f>IFERROR(E56-F56,0)</f>
        <v/>
      </c>
      <c r="I56" s="52" t="n"/>
      <c r="J56" s="49">
        <f>IF(A56="","",IF(H56&lt;=0,"Paid",IF(AND(I56&lt;TODAY(),I56&lt;&gt;""),"Overdue","Open")))</f>
        <v/>
      </c>
      <c r="K56" s="49" t="n"/>
    </row>
    <row r="57">
      <c r="A57" s="52" t="n"/>
      <c r="B57" s="49" t="n"/>
      <c r="C57" s="49" t="n"/>
      <c r="D57" s="49" t="n"/>
      <c r="E57" s="51" t="n"/>
      <c r="F57" s="51" t="n"/>
      <c r="G57" s="52" t="n"/>
      <c r="H57" s="51">
        <f>IFERROR(E57-F57,0)</f>
        <v/>
      </c>
      <c r="I57" s="52" t="n"/>
      <c r="J57" s="49">
        <f>IF(A57="","",IF(H57&lt;=0,"Paid",IF(AND(I57&lt;TODAY(),I57&lt;&gt;""),"Overdue","Open")))</f>
        <v/>
      </c>
      <c r="K57" s="49" t="n"/>
    </row>
    <row r="58">
      <c r="A58" s="52" t="n"/>
      <c r="B58" s="49" t="n"/>
      <c r="C58" s="49" t="n"/>
      <c r="D58" s="49" t="n"/>
      <c r="E58" s="51" t="n"/>
      <c r="F58" s="51" t="n"/>
      <c r="G58" s="52" t="n"/>
      <c r="H58" s="51">
        <f>IFERROR(E58-F58,0)</f>
        <v/>
      </c>
      <c r="I58" s="52" t="n"/>
      <c r="J58" s="49">
        <f>IF(A58="","",IF(H58&lt;=0,"Paid",IF(AND(I58&lt;TODAY(),I58&lt;&gt;""),"Overdue","Open")))</f>
        <v/>
      </c>
      <c r="K58" s="49" t="n"/>
    </row>
    <row r="59">
      <c r="A59" s="52" t="n"/>
      <c r="B59" s="49" t="n"/>
      <c r="C59" s="49" t="n"/>
      <c r="D59" s="49" t="n"/>
      <c r="E59" s="51" t="n"/>
      <c r="F59" s="51" t="n"/>
      <c r="G59" s="52" t="n"/>
      <c r="H59" s="51">
        <f>IFERROR(E59-F59,0)</f>
        <v/>
      </c>
      <c r="I59" s="52" t="n"/>
      <c r="J59" s="49">
        <f>IF(A59="","",IF(H59&lt;=0,"Paid",IF(AND(I59&lt;TODAY(),I59&lt;&gt;""),"Overdue","Open")))</f>
        <v/>
      </c>
      <c r="K59" s="49" t="n"/>
    </row>
    <row r="60">
      <c r="A60" s="52" t="n"/>
      <c r="B60" s="49" t="n"/>
      <c r="C60" s="49" t="n"/>
      <c r="D60" s="49" t="n"/>
      <c r="E60" s="51" t="n"/>
      <c r="F60" s="51" t="n"/>
      <c r="G60" s="52" t="n"/>
      <c r="H60" s="51">
        <f>IFERROR(E60-F60,0)</f>
        <v/>
      </c>
      <c r="I60" s="52" t="n"/>
      <c r="J60" s="49">
        <f>IF(A60="","",IF(H60&lt;=0,"Paid",IF(AND(I60&lt;TODAY(),I60&lt;&gt;""),"Overdue","Open")))</f>
        <v/>
      </c>
      <c r="K60" s="49" t="n"/>
    </row>
    <row r="61">
      <c r="A61" s="52" t="n"/>
      <c r="B61" s="49" t="n"/>
      <c r="C61" s="49" t="n"/>
      <c r="D61" s="49" t="n"/>
      <c r="E61" s="51" t="n"/>
      <c r="F61" s="51" t="n"/>
      <c r="G61" s="52" t="n"/>
      <c r="H61" s="51">
        <f>IFERROR(E61-F61,0)</f>
        <v/>
      </c>
      <c r="I61" s="52" t="n"/>
      <c r="J61" s="49">
        <f>IF(A61="","",IF(H61&lt;=0,"Paid",IF(AND(I61&lt;TODAY(),I61&lt;&gt;""),"Overdue","Open")))</f>
        <v/>
      </c>
      <c r="K61" s="49" t="n"/>
    </row>
    <row r="62">
      <c r="A62" s="52" t="n"/>
      <c r="B62" s="49" t="n"/>
      <c r="C62" s="49" t="n"/>
      <c r="D62" s="49" t="n"/>
      <c r="E62" s="51" t="n"/>
      <c r="F62" s="51" t="n"/>
      <c r="G62" s="52" t="n"/>
      <c r="H62" s="51">
        <f>IFERROR(E62-F62,0)</f>
        <v/>
      </c>
      <c r="I62" s="52" t="n"/>
      <c r="J62" s="49">
        <f>IF(A62="","",IF(H62&lt;=0,"Paid",IF(AND(I62&lt;TODAY(),I62&lt;&gt;""),"Overdue","Open")))</f>
        <v/>
      </c>
      <c r="K62" s="49" t="n"/>
    </row>
    <row r="63">
      <c r="A63" s="52" t="n"/>
      <c r="B63" s="49" t="n"/>
      <c r="C63" s="49" t="n"/>
      <c r="D63" s="49" t="n"/>
      <c r="E63" s="51" t="n"/>
      <c r="F63" s="51" t="n"/>
      <c r="G63" s="52" t="n"/>
      <c r="H63" s="51">
        <f>IFERROR(E63-F63,0)</f>
        <v/>
      </c>
      <c r="I63" s="52" t="n"/>
      <c r="J63" s="49">
        <f>IF(A63="","",IF(H63&lt;=0,"Paid",IF(AND(I63&lt;TODAY(),I63&lt;&gt;""),"Overdue","Open")))</f>
        <v/>
      </c>
      <c r="K63" s="49" t="n"/>
    </row>
    <row r="64">
      <c r="A64" s="52" t="n"/>
      <c r="B64" s="49" t="n"/>
      <c r="C64" s="49" t="n"/>
      <c r="D64" s="49" t="n"/>
      <c r="E64" s="51" t="n"/>
      <c r="F64" s="51" t="n"/>
      <c r="G64" s="52" t="n"/>
      <c r="H64" s="51">
        <f>IFERROR(E64-F64,0)</f>
        <v/>
      </c>
      <c r="I64" s="52" t="n"/>
      <c r="J64" s="49">
        <f>IF(A64="","",IF(H64&lt;=0,"Paid",IF(AND(I64&lt;TODAY(),I64&lt;&gt;""),"Overdue","Open")))</f>
        <v/>
      </c>
      <c r="K64" s="49" t="n"/>
    </row>
    <row r="65">
      <c r="A65" s="52" t="n"/>
      <c r="B65" s="49" t="n"/>
      <c r="C65" s="49" t="n"/>
      <c r="D65" s="49" t="n"/>
      <c r="E65" s="51" t="n"/>
      <c r="F65" s="51" t="n"/>
      <c r="G65" s="52" t="n"/>
      <c r="H65" s="51">
        <f>IFERROR(E65-F65,0)</f>
        <v/>
      </c>
      <c r="I65" s="52" t="n"/>
      <c r="J65" s="49">
        <f>IF(A65="","",IF(H65&lt;=0,"Paid",IF(AND(I65&lt;TODAY(),I65&lt;&gt;""),"Overdue","Open")))</f>
        <v/>
      </c>
      <c r="K65" s="49" t="n"/>
    </row>
    <row r="66">
      <c r="A66" s="52" t="n"/>
      <c r="B66" s="49" t="n"/>
      <c r="C66" s="49" t="n"/>
      <c r="D66" s="49" t="n"/>
      <c r="E66" s="51" t="n"/>
      <c r="F66" s="51" t="n"/>
      <c r="G66" s="52" t="n"/>
      <c r="H66" s="51">
        <f>IFERROR(E66-F66,0)</f>
        <v/>
      </c>
      <c r="I66" s="52" t="n"/>
      <c r="J66" s="49">
        <f>IF(A66="","",IF(H66&lt;=0,"Paid",IF(AND(I66&lt;TODAY(),I66&lt;&gt;""),"Overdue","Open")))</f>
        <v/>
      </c>
      <c r="K66" s="49" t="n"/>
    </row>
    <row r="67">
      <c r="A67" s="52" t="n"/>
      <c r="B67" s="49" t="n"/>
      <c r="C67" s="49" t="n"/>
      <c r="D67" s="49" t="n"/>
      <c r="E67" s="51" t="n"/>
      <c r="F67" s="51" t="n"/>
      <c r="G67" s="52" t="n"/>
      <c r="H67" s="51">
        <f>IFERROR(E67-F67,0)</f>
        <v/>
      </c>
      <c r="I67" s="52" t="n"/>
      <c r="J67" s="49">
        <f>IF(A67="","",IF(H67&lt;=0,"Paid",IF(AND(I67&lt;TODAY(),I67&lt;&gt;""),"Overdue","Open")))</f>
        <v/>
      </c>
      <c r="K67" s="49" t="n"/>
    </row>
    <row r="68">
      <c r="A68" s="52" t="n"/>
      <c r="B68" s="49" t="n"/>
      <c r="C68" s="49" t="n"/>
      <c r="D68" s="49" t="n"/>
      <c r="E68" s="51" t="n"/>
      <c r="F68" s="51" t="n"/>
      <c r="G68" s="52" t="n"/>
      <c r="H68" s="51">
        <f>IFERROR(E68-F68,0)</f>
        <v/>
      </c>
      <c r="I68" s="52" t="n"/>
      <c r="J68" s="49">
        <f>IF(A68="","",IF(H68&lt;=0,"Paid",IF(AND(I68&lt;TODAY(),I68&lt;&gt;""),"Overdue","Open")))</f>
        <v/>
      </c>
      <c r="K68" s="49" t="n"/>
    </row>
    <row r="69">
      <c r="A69" s="52" t="n"/>
      <c r="B69" s="49" t="n"/>
      <c r="C69" s="49" t="n"/>
      <c r="D69" s="49" t="n"/>
      <c r="E69" s="51" t="n"/>
      <c r="F69" s="51" t="n"/>
      <c r="G69" s="52" t="n"/>
      <c r="H69" s="51">
        <f>IFERROR(E69-F69,0)</f>
        <v/>
      </c>
      <c r="I69" s="52" t="n"/>
      <c r="J69" s="49">
        <f>IF(A69="","",IF(H69&lt;=0,"Paid",IF(AND(I69&lt;TODAY(),I69&lt;&gt;""),"Overdue","Open")))</f>
        <v/>
      </c>
      <c r="K69" s="49" t="n"/>
    </row>
    <row r="70">
      <c r="A70" s="52" t="n"/>
      <c r="B70" s="49" t="n"/>
      <c r="C70" s="49" t="n"/>
      <c r="D70" s="49" t="n"/>
      <c r="E70" s="51" t="n"/>
      <c r="F70" s="51" t="n"/>
      <c r="G70" s="52" t="n"/>
      <c r="H70" s="51">
        <f>IFERROR(E70-F70,0)</f>
        <v/>
      </c>
      <c r="I70" s="52" t="n"/>
      <c r="J70" s="49">
        <f>IF(A70="","",IF(H70&lt;=0,"Paid",IF(AND(I70&lt;TODAY(),I70&lt;&gt;""),"Overdue","Open")))</f>
        <v/>
      </c>
      <c r="K70" s="49" t="n"/>
    </row>
    <row r="71">
      <c r="A71" s="52" t="n"/>
      <c r="B71" s="49" t="n"/>
      <c r="C71" s="49" t="n"/>
      <c r="D71" s="49" t="n"/>
      <c r="E71" s="51" t="n"/>
      <c r="F71" s="51" t="n"/>
      <c r="G71" s="52" t="n"/>
      <c r="H71" s="51">
        <f>IFERROR(E71-F71,0)</f>
        <v/>
      </c>
      <c r="I71" s="52" t="n"/>
      <c r="J71" s="49">
        <f>IF(A71="","",IF(H71&lt;=0,"Paid",IF(AND(I71&lt;TODAY(),I71&lt;&gt;""),"Overdue","Open")))</f>
        <v/>
      </c>
      <c r="K71" s="49" t="n"/>
    </row>
    <row r="72">
      <c r="A72" s="52" t="n"/>
      <c r="B72" s="49" t="n"/>
      <c r="C72" s="49" t="n"/>
      <c r="D72" s="49" t="n"/>
      <c r="E72" s="51" t="n"/>
      <c r="F72" s="51" t="n"/>
      <c r="G72" s="52" t="n"/>
      <c r="H72" s="51">
        <f>IFERROR(E72-F72,0)</f>
        <v/>
      </c>
      <c r="I72" s="52" t="n"/>
      <c r="J72" s="49">
        <f>IF(A72="","",IF(H72&lt;=0,"Paid",IF(AND(I72&lt;TODAY(),I72&lt;&gt;""),"Overdue","Open")))</f>
        <v/>
      </c>
      <c r="K72" s="49" t="n"/>
    </row>
    <row r="73">
      <c r="A73" s="52" t="n"/>
      <c r="B73" s="49" t="n"/>
      <c r="C73" s="49" t="n"/>
      <c r="D73" s="49" t="n"/>
      <c r="E73" s="51" t="n"/>
      <c r="F73" s="51" t="n"/>
      <c r="G73" s="52" t="n"/>
      <c r="H73" s="51">
        <f>IFERROR(E73-F73,0)</f>
        <v/>
      </c>
      <c r="I73" s="52" t="n"/>
      <c r="J73" s="49">
        <f>IF(A73="","",IF(H73&lt;=0,"Paid",IF(AND(I73&lt;TODAY(),I73&lt;&gt;""),"Overdue","Open")))</f>
        <v/>
      </c>
      <c r="K73" s="49" t="n"/>
    </row>
    <row r="74">
      <c r="A74" s="52" t="n"/>
      <c r="B74" s="49" t="n"/>
      <c r="C74" s="49" t="n"/>
      <c r="D74" s="49" t="n"/>
      <c r="E74" s="51" t="n"/>
      <c r="F74" s="51" t="n"/>
      <c r="G74" s="52" t="n"/>
      <c r="H74" s="51">
        <f>IFERROR(E74-F74,0)</f>
        <v/>
      </c>
      <c r="I74" s="52" t="n"/>
      <c r="J74" s="49">
        <f>IF(A74="","",IF(H74&lt;=0,"Paid",IF(AND(I74&lt;TODAY(),I74&lt;&gt;""),"Overdue","Open")))</f>
        <v/>
      </c>
      <c r="K74" s="49" t="n"/>
    </row>
    <row r="75">
      <c r="A75" s="52" t="n"/>
      <c r="B75" s="49" t="n"/>
      <c r="C75" s="49" t="n"/>
      <c r="D75" s="49" t="n"/>
      <c r="E75" s="51" t="n"/>
      <c r="F75" s="51" t="n"/>
      <c r="G75" s="52" t="n"/>
      <c r="H75" s="51">
        <f>IFERROR(E75-F75,0)</f>
        <v/>
      </c>
      <c r="I75" s="52" t="n"/>
      <c r="J75" s="49">
        <f>IF(A75="","",IF(H75&lt;=0,"Paid",IF(AND(I75&lt;TODAY(),I75&lt;&gt;""),"Overdue","Open")))</f>
        <v/>
      </c>
      <c r="K75" s="49" t="n"/>
    </row>
    <row r="76">
      <c r="A76" s="52" t="n"/>
      <c r="B76" s="49" t="n"/>
      <c r="C76" s="49" t="n"/>
      <c r="D76" s="49" t="n"/>
      <c r="E76" s="51" t="n"/>
      <c r="F76" s="51" t="n"/>
      <c r="G76" s="52" t="n"/>
      <c r="H76" s="51">
        <f>IFERROR(E76-F76,0)</f>
        <v/>
      </c>
      <c r="I76" s="52" t="n"/>
      <c r="J76" s="49">
        <f>IF(A76="","",IF(H76&lt;=0,"Paid",IF(AND(I76&lt;TODAY(),I76&lt;&gt;""),"Overdue","Open")))</f>
        <v/>
      </c>
      <c r="K76" s="49" t="n"/>
    </row>
    <row r="77">
      <c r="A77" s="52" t="n"/>
      <c r="B77" s="49" t="n"/>
      <c r="C77" s="49" t="n"/>
      <c r="D77" s="49" t="n"/>
      <c r="E77" s="51" t="n"/>
      <c r="F77" s="51" t="n"/>
      <c r="G77" s="52" t="n"/>
      <c r="H77" s="51">
        <f>IFERROR(E77-F77,0)</f>
        <v/>
      </c>
      <c r="I77" s="52" t="n"/>
      <c r="J77" s="49">
        <f>IF(A77="","",IF(H77&lt;=0,"Paid",IF(AND(I77&lt;TODAY(),I77&lt;&gt;""),"Overdue","Open")))</f>
        <v/>
      </c>
      <c r="K77" s="49" t="n"/>
    </row>
    <row r="78">
      <c r="A78" s="52" t="n"/>
      <c r="B78" s="49" t="n"/>
      <c r="C78" s="49" t="n"/>
      <c r="D78" s="49" t="n"/>
      <c r="E78" s="51" t="n"/>
      <c r="F78" s="51" t="n"/>
      <c r="G78" s="52" t="n"/>
      <c r="H78" s="51">
        <f>IFERROR(E78-F78,0)</f>
        <v/>
      </c>
      <c r="I78" s="52" t="n"/>
      <c r="J78" s="49">
        <f>IF(A78="","",IF(H78&lt;=0,"Paid",IF(AND(I78&lt;TODAY(),I78&lt;&gt;""),"Overdue","Open")))</f>
        <v/>
      </c>
      <c r="K78" s="49" t="n"/>
    </row>
    <row r="79">
      <c r="A79" s="52" t="n"/>
      <c r="B79" s="49" t="n"/>
      <c r="C79" s="49" t="n"/>
      <c r="D79" s="49" t="n"/>
      <c r="E79" s="51" t="n"/>
      <c r="F79" s="51" t="n"/>
      <c r="G79" s="52" t="n"/>
      <c r="H79" s="51">
        <f>IFERROR(E79-F79,0)</f>
        <v/>
      </c>
      <c r="I79" s="52" t="n"/>
      <c r="J79" s="49">
        <f>IF(A79="","",IF(H79&lt;=0,"Paid",IF(AND(I79&lt;TODAY(),I79&lt;&gt;""),"Overdue","Open")))</f>
        <v/>
      </c>
      <c r="K79" s="49" t="n"/>
    </row>
    <row r="80">
      <c r="A80" s="52" t="n"/>
      <c r="B80" s="49" t="n"/>
      <c r="C80" s="49" t="n"/>
      <c r="D80" s="49" t="n"/>
      <c r="E80" s="51" t="n"/>
      <c r="F80" s="51" t="n"/>
      <c r="G80" s="52" t="n"/>
      <c r="H80" s="51">
        <f>IFERROR(E80-F80,0)</f>
        <v/>
      </c>
      <c r="I80" s="52" t="n"/>
      <c r="J80" s="49">
        <f>IF(A80="","",IF(H80&lt;=0,"Paid",IF(AND(I80&lt;TODAY(),I80&lt;&gt;""),"Overdue","Open")))</f>
        <v/>
      </c>
      <c r="K80" s="49" t="n"/>
    </row>
    <row r="81">
      <c r="A81" s="52" t="n"/>
      <c r="B81" s="49" t="n"/>
      <c r="C81" s="49" t="n"/>
      <c r="D81" s="49" t="n"/>
      <c r="E81" s="51" t="n"/>
      <c r="F81" s="51" t="n"/>
      <c r="G81" s="52" t="n"/>
      <c r="H81" s="51">
        <f>IFERROR(E81-F81,0)</f>
        <v/>
      </c>
      <c r="I81" s="52" t="n"/>
      <c r="J81" s="49">
        <f>IF(A81="","",IF(H81&lt;=0,"Paid",IF(AND(I81&lt;TODAY(),I81&lt;&gt;""),"Overdue","Open")))</f>
        <v/>
      </c>
      <c r="K81" s="49" t="n"/>
    </row>
    <row r="82">
      <c r="A82" s="52" t="n"/>
      <c r="B82" s="49" t="n"/>
      <c r="C82" s="49" t="n"/>
      <c r="D82" s="49" t="n"/>
      <c r="E82" s="51" t="n"/>
      <c r="F82" s="51" t="n"/>
      <c r="G82" s="52" t="n"/>
      <c r="H82" s="51">
        <f>IFERROR(E82-F82,0)</f>
        <v/>
      </c>
      <c r="I82" s="52" t="n"/>
      <c r="J82" s="49">
        <f>IF(A82="","",IF(H82&lt;=0,"Paid",IF(AND(I82&lt;TODAY(),I82&lt;&gt;""),"Overdue","Open")))</f>
        <v/>
      </c>
      <c r="K82" s="49" t="n"/>
    </row>
    <row r="83">
      <c r="A83" s="52" t="n"/>
      <c r="B83" s="49" t="n"/>
      <c r="C83" s="49" t="n"/>
      <c r="D83" s="49" t="n"/>
      <c r="E83" s="51" t="n"/>
      <c r="F83" s="51" t="n"/>
      <c r="G83" s="52" t="n"/>
      <c r="H83" s="51">
        <f>IFERROR(E83-F83,0)</f>
        <v/>
      </c>
      <c r="I83" s="52" t="n"/>
      <c r="J83" s="49">
        <f>IF(A83="","",IF(H83&lt;=0,"Paid",IF(AND(I83&lt;TODAY(),I83&lt;&gt;""),"Overdue","Open")))</f>
        <v/>
      </c>
      <c r="K83" s="49" t="n"/>
    </row>
    <row r="84">
      <c r="A84" s="52" t="n"/>
      <c r="B84" s="49" t="n"/>
      <c r="C84" s="49" t="n"/>
      <c r="D84" s="49" t="n"/>
      <c r="E84" s="51" t="n"/>
      <c r="F84" s="51" t="n"/>
      <c r="G84" s="52" t="n"/>
      <c r="H84" s="51">
        <f>IFERROR(E84-F84,0)</f>
        <v/>
      </c>
      <c r="I84" s="52" t="n"/>
      <c r="J84" s="49">
        <f>IF(A84="","",IF(H84&lt;=0,"Paid",IF(AND(I84&lt;TODAY(),I84&lt;&gt;""),"Overdue","Open")))</f>
        <v/>
      </c>
      <c r="K84" s="49" t="n"/>
    </row>
    <row r="85">
      <c r="A85" s="52" t="n"/>
      <c r="B85" s="49" t="n"/>
      <c r="C85" s="49" t="n"/>
      <c r="D85" s="49" t="n"/>
      <c r="E85" s="51" t="n"/>
      <c r="F85" s="51" t="n"/>
      <c r="G85" s="52" t="n"/>
      <c r="H85" s="51">
        <f>IFERROR(E85-F85,0)</f>
        <v/>
      </c>
      <c r="I85" s="52" t="n"/>
      <c r="J85" s="49">
        <f>IF(A85="","",IF(H85&lt;=0,"Paid",IF(AND(I85&lt;TODAY(),I85&lt;&gt;""),"Overdue","Open")))</f>
        <v/>
      </c>
      <c r="K85" s="49" t="n"/>
    </row>
    <row r="86">
      <c r="A86" s="52" t="n"/>
      <c r="B86" s="49" t="n"/>
      <c r="C86" s="49" t="n"/>
      <c r="D86" s="49" t="n"/>
      <c r="E86" s="51" t="n"/>
      <c r="F86" s="51" t="n"/>
      <c r="G86" s="52" t="n"/>
      <c r="H86" s="51">
        <f>IFERROR(E86-F86,0)</f>
        <v/>
      </c>
      <c r="I86" s="52" t="n"/>
      <c r="J86" s="49">
        <f>IF(A86="","",IF(H86&lt;=0,"Paid",IF(AND(I86&lt;TODAY(),I86&lt;&gt;""),"Overdue","Open")))</f>
        <v/>
      </c>
      <c r="K86" s="49" t="n"/>
    </row>
    <row r="87">
      <c r="A87" s="52" t="n"/>
      <c r="B87" s="49" t="n"/>
      <c r="C87" s="49" t="n"/>
      <c r="D87" s="49" t="n"/>
      <c r="E87" s="51" t="n"/>
      <c r="F87" s="51" t="n"/>
      <c r="G87" s="52" t="n"/>
      <c r="H87" s="51">
        <f>IFERROR(E87-F87,0)</f>
        <v/>
      </c>
      <c r="I87" s="52" t="n"/>
      <c r="J87" s="49">
        <f>IF(A87="","",IF(H87&lt;=0,"Paid",IF(AND(I87&lt;TODAY(),I87&lt;&gt;""),"Overdue","Open")))</f>
        <v/>
      </c>
      <c r="K87" s="49" t="n"/>
    </row>
    <row r="88">
      <c r="A88" s="52" t="n"/>
      <c r="B88" s="49" t="n"/>
      <c r="C88" s="49" t="n"/>
      <c r="D88" s="49" t="n"/>
      <c r="E88" s="51" t="n"/>
      <c r="F88" s="51" t="n"/>
      <c r="G88" s="52" t="n"/>
      <c r="H88" s="51">
        <f>IFERROR(E88-F88,0)</f>
        <v/>
      </c>
      <c r="I88" s="52" t="n"/>
      <c r="J88" s="49">
        <f>IF(A88="","",IF(H88&lt;=0,"Paid",IF(AND(I88&lt;TODAY(),I88&lt;&gt;""),"Overdue","Open")))</f>
        <v/>
      </c>
      <c r="K88" s="49" t="n"/>
    </row>
    <row r="89">
      <c r="A89" s="52" t="n"/>
      <c r="B89" s="49" t="n"/>
      <c r="C89" s="49" t="n"/>
      <c r="D89" s="49" t="n"/>
      <c r="E89" s="51" t="n"/>
      <c r="F89" s="51" t="n"/>
      <c r="G89" s="52" t="n"/>
      <c r="H89" s="51">
        <f>IFERROR(E89-F89,0)</f>
        <v/>
      </c>
      <c r="I89" s="52" t="n"/>
      <c r="J89" s="49">
        <f>IF(A89="","",IF(H89&lt;=0,"Paid",IF(AND(I89&lt;TODAY(),I89&lt;&gt;""),"Overdue","Open")))</f>
        <v/>
      </c>
      <c r="K89" s="49" t="n"/>
    </row>
    <row r="90">
      <c r="A90" s="52" t="n"/>
      <c r="B90" s="49" t="n"/>
      <c r="C90" s="49" t="n"/>
      <c r="D90" s="49" t="n"/>
      <c r="E90" s="51" t="n"/>
      <c r="F90" s="51" t="n"/>
      <c r="G90" s="52" t="n"/>
      <c r="H90" s="51">
        <f>IFERROR(E90-F90,0)</f>
        <v/>
      </c>
      <c r="I90" s="52" t="n"/>
      <c r="J90" s="49">
        <f>IF(A90="","",IF(H90&lt;=0,"Paid",IF(AND(I90&lt;TODAY(),I90&lt;&gt;""),"Overdue","Open")))</f>
        <v/>
      </c>
      <c r="K90" s="49" t="n"/>
    </row>
    <row r="91">
      <c r="A91" s="52" t="n"/>
      <c r="B91" s="49" t="n"/>
      <c r="C91" s="49" t="n"/>
      <c r="D91" s="49" t="n"/>
      <c r="E91" s="51" t="n"/>
      <c r="F91" s="51" t="n"/>
      <c r="G91" s="52" t="n"/>
      <c r="H91" s="51">
        <f>IFERROR(E91-F91,0)</f>
        <v/>
      </c>
      <c r="I91" s="52" t="n"/>
      <c r="J91" s="49">
        <f>IF(A91="","",IF(H91&lt;=0,"Paid",IF(AND(I91&lt;TODAY(),I91&lt;&gt;""),"Overdue","Open")))</f>
        <v/>
      </c>
      <c r="K91" s="49" t="n"/>
    </row>
    <row r="92">
      <c r="A92" s="52" t="n"/>
      <c r="B92" s="49" t="n"/>
      <c r="C92" s="49" t="n"/>
      <c r="D92" s="49" t="n"/>
      <c r="E92" s="51" t="n"/>
      <c r="F92" s="51" t="n"/>
      <c r="G92" s="52" t="n"/>
      <c r="H92" s="51">
        <f>IFERROR(E92-F92,0)</f>
        <v/>
      </c>
      <c r="I92" s="52" t="n"/>
      <c r="J92" s="49">
        <f>IF(A92="","",IF(H92&lt;=0,"Paid",IF(AND(I92&lt;TODAY(),I92&lt;&gt;""),"Overdue","Open")))</f>
        <v/>
      </c>
      <c r="K92" s="49" t="n"/>
    </row>
    <row r="93">
      <c r="A93" s="52" t="n"/>
      <c r="B93" s="49" t="n"/>
      <c r="C93" s="49" t="n"/>
      <c r="D93" s="49" t="n"/>
      <c r="E93" s="51" t="n"/>
      <c r="F93" s="51" t="n"/>
      <c r="G93" s="52" t="n"/>
      <c r="H93" s="51">
        <f>IFERROR(E93-F93,0)</f>
        <v/>
      </c>
      <c r="I93" s="52" t="n"/>
      <c r="J93" s="49">
        <f>IF(A93="","",IF(H93&lt;=0,"Paid",IF(AND(I93&lt;TODAY(),I93&lt;&gt;""),"Overdue","Open")))</f>
        <v/>
      </c>
      <c r="K93" s="49" t="n"/>
    </row>
    <row r="94">
      <c r="A94" s="52" t="n"/>
      <c r="B94" s="49" t="n"/>
      <c r="C94" s="49" t="n"/>
      <c r="D94" s="49" t="n"/>
      <c r="E94" s="51" t="n"/>
      <c r="F94" s="51" t="n"/>
      <c r="G94" s="52" t="n"/>
      <c r="H94" s="51">
        <f>IFERROR(E94-F94,0)</f>
        <v/>
      </c>
      <c r="I94" s="52" t="n"/>
      <c r="J94" s="49">
        <f>IF(A94="","",IF(H94&lt;=0,"Paid",IF(AND(I94&lt;TODAY(),I94&lt;&gt;""),"Overdue","Open")))</f>
        <v/>
      </c>
      <c r="K94" s="49" t="n"/>
    </row>
    <row r="95">
      <c r="A95" s="52" t="n"/>
      <c r="B95" s="49" t="n"/>
      <c r="C95" s="49" t="n"/>
      <c r="D95" s="49" t="n"/>
      <c r="E95" s="51" t="n"/>
      <c r="F95" s="51" t="n"/>
      <c r="G95" s="52" t="n"/>
      <c r="H95" s="51">
        <f>IFERROR(E95-F95,0)</f>
        <v/>
      </c>
      <c r="I95" s="52" t="n"/>
      <c r="J95" s="49">
        <f>IF(A95="","",IF(H95&lt;=0,"Paid",IF(AND(I95&lt;TODAY(),I95&lt;&gt;""),"Overdue","Open")))</f>
        <v/>
      </c>
      <c r="K95" s="49" t="n"/>
    </row>
    <row r="96">
      <c r="A96" s="52" t="n"/>
      <c r="B96" s="49" t="n"/>
      <c r="C96" s="49" t="n"/>
      <c r="D96" s="49" t="n"/>
      <c r="E96" s="51" t="n"/>
      <c r="F96" s="51" t="n"/>
      <c r="G96" s="52" t="n"/>
      <c r="H96" s="51">
        <f>IFERROR(E96-F96,0)</f>
        <v/>
      </c>
      <c r="I96" s="52" t="n"/>
      <c r="J96" s="49">
        <f>IF(A96="","",IF(H96&lt;=0,"Paid",IF(AND(I96&lt;TODAY(),I96&lt;&gt;""),"Overdue","Open")))</f>
        <v/>
      </c>
      <c r="K96" s="49" t="n"/>
    </row>
    <row r="97">
      <c r="A97" s="52" t="n"/>
      <c r="B97" s="49" t="n"/>
      <c r="C97" s="49" t="n"/>
      <c r="D97" s="49" t="n"/>
      <c r="E97" s="51" t="n"/>
      <c r="F97" s="51" t="n"/>
      <c r="G97" s="52" t="n"/>
      <c r="H97" s="51">
        <f>IFERROR(E97-F97,0)</f>
        <v/>
      </c>
      <c r="I97" s="52" t="n"/>
      <c r="J97" s="49">
        <f>IF(A97="","",IF(H97&lt;=0,"Paid",IF(AND(I97&lt;TODAY(),I97&lt;&gt;""),"Overdue","Open")))</f>
        <v/>
      </c>
      <c r="K97" s="49" t="n"/>
    </row>
    <row r="98">
      <c r="A98" s="52" t="n"/>
      <c r="B98" s="49" t="n"/>
      <c r="C98" s="49" t="n"/>
      <c r="D98" s="49" t="n"/>
      <c r="E98" s="51" t="n"/>
      <c r="F98" s="51" t="n"/>
      <c r="G98" s="52" t="n"/>
      <c r="H98" s="51">
        <f>IFERROR(E98-F98,0)</f>
        <v/>
      </c>
      <c r="I98" s="52" t="n"/>
      <c r="J98" s="49">
        <f>IF(A98="","",IF(H98&lt;=0,"Paid",IF(AND(I98&lt;TODAY(),I98&lt;&gt;""),"Overdue","Open")))</f>
        <v/>
      </c>
      <c r="K98" s="49" t="n"/>
    </row>
    <row r="99">
      <c r="A99" s="52" t="n"/>
      <c r="B99" s="49" t="n"/>
      <c r="C99" s="49" t="n"/>
      <c r="D99" s="49" t="n"/>
      <c r="E99" s="51" t="n"/>
      <c r="F99" s="51" t="n"/>
      <c r="G99" s="52" t="n"/>
      <c r="H99" s="51">
        <f>IFERROR(E99-F99,0)</f>
        <v/>
      </c>
      <c r="I99" s="52" t="n"/>
      <c r="J99" s="49">
        <f>IF(A99="","",IF(H99&lt;=0,"Paid",IF(AND(I99&lt;TODAY(),I99&lt;&gt;""),"Overdue","Open")))</f>
        <v/>
      </c>
      <c r="K99" s="49" t="n"/>
    </row>
    <row r="100">
      <c r="A100" s="52" t="n"/>
      <c r="B100" s="49" t="n"/>
      <c r="C100" s="49" t="n"/>
      <c r="D100" s="49" t="n"/>
      <c r="E100" s="51" t="n"/>
      <c r="F100" s="51" t="n"/>
      <c r="G100" s="52" t="n"/>
      <c r="H100" s="51">
        <f>IFERROR(E100-F100,0)</f>
        <v/>
      </c>
      <c r="I100" s="52" t="n"/>
      <c r="J100" s="49">
        <f>IF(A100="","",IF(H100&lt;=0,"Paid",IF(AND(I100&lt;TODAY(),I100&lt;&gt;""),"Overdue","Open")))</f>
        <v/>
      </c>
      <c r="K100" s="49" t="n"/>
    </row>
    <row r="101">
      <c r="A101" s="52" t="n"/>
      <c r="B101" s="49" t="n"/>
      <c r="C101" s="49" t="n"/>
      <c r="D101" s="49" t="n"/>
      <c r="E101" s="51" t="n"/>
      <c r="F101" s="51" t="n"/>
      <c r="G101" s="52" t="n"/>
      <c r="H101" s="51">
        <f>IFERROR(E101-F101,0)</f>
        <v/>
      </c>
      <c r="I101" s="52" t="n"/>
      <c r="J101" s="49">
        <f>IF(A101="","",IF(H101&lt;=0,"Paid",IF(AND(I101&lt;TODAY(),I101&lt;&gt;""),"Overdue","Open")))</f>
        <v/>
      </c>
      <c r="K101" s="49" t="n"/>
    </row>
    <row r="102">
      <c r="A102" s="52" t="n"/>
      <c r="B102" s="49" t="n"/>
      <c r="C102" s="49" t="n"/>
      <c r="D102" s="49" t="n"/>
      <c r="E102" s="51" t="n"/>
      <c r="F102" s="51" t="n"/>
      <c r="G102" s="52" t="n"/>
      <c r="H102" s="51">
        <f>IFERROR(E102-F102,0)</f>
        <v/>
      </c>
      <c r="I102" s="52" t="n"/>
      <c r="J102" s="49">
        <f>IF(A102="","",IF(H102&lt;=0,"Paid",IF(AND(I102&lt;TODAY(),I102&lt;&gt;""),"Overdue","Open")))</f>
        <v/>
      </c>
      <c r="K102" s="49" t="n"/>
    </row>
    <row r="103">
      <c r="A103" s="52" t="n"/>
      <c r="B103" s="49" t="n"/>
      <c r="C103" s="49" t="n"/>
      <c r="D103" s="49" t="n"/>
      <c r="E103" s="51" t="n"/>
      <c r="F103" s="51" t="n"/>
      <c r="G103" s="52" t="n"/>
      <c r="H103" s="51">
        <f>IFERROR(E103-F103,0)</f>
        <v/>
      </c>
      <c r="I103" s="52" t="n"/>
      <c r="J103" s="49">
        <f>IF(A103="","",IF(H103&lt;=0,"Paid",IF(AND(I103&lt;TODAY(),I103&lt;&gt;""),"Overdue","Open")))</f>
        <v/>
      </c>
      <c r="K103" s="49" t="n"/>
    </row>
    <row r="104">
      <c r="A104" s="52" t="n"/>
      <c r="B104" s="49" t="n"/>
      <c r="C104" s="49" t="n"/>
      <c r="D104" s="49" t="n"/>
      <c r="E104" s="51" t="n"/>
      <c r="F104" s="51" t="n"/>
      <c r="G104" s="52" t="n"/>
      <c r="H104" s="51">
        <f>IFERROR(E104-F104,0)</f>
        <v/>
      </c>
      <c r="I104" s="52" t="n"/>
      <c r="J104" s="49">
        <f>IF(A104="","",IF(H104&lt;=0,"Paid",IF(AND(I104&lt;TODAY(),I104&lt;&gt;""),"Overdue","Open")))</f>
        <v/>
      </c>
      <c r="K104" s="49" t="n"/>
    </row>
    <row r="105">
      <c r="A105" s="52" t="n"/>
      <c r="B105" s="49" t="n"/>
      <c r="C105" s="49" t="n"/>
      <c r="D105" s="49" t="n"/>
      <c r="E105" s="51" t="n"/>
      <c r="F105" s="51" t="n"/>
      <c r="G105" s="52" t="n"/>
      <c r="H105" s="51">
        <f>IFERROR(E105-F105,0)</f>
        <v/>
      </c>
      <c r="I105" s="52" t="n"/>
      <c r="J105" s="49">
        <f>IF(A105="","",IF(H105&lt;=0,"Paid",IF(AND(I105&lt;TODAY(),I105&lt;&gt;""),"Overdue","Open")))</f>
        <v/>
      </c>
      <c r="K105" s="49" t="n"/>
    </row>
    <row r="106">
      <c r="A106" s="52" t="n"/>
      <c r="B106" s="49" t="n"/>
      <c r="C106" s="49" t="n"/>
      <c r="D106" s="49" t="n"/>
      <c r="E106" s="51" t="n"/>
      <c r="F106" s="51" t="n"/>
      <c r="G106" s="52" t="n"/>
      <c r="H106" s="51">
        <f>IFERROR(E106-F106,0)</f>
        <v/>
      </c>
      <c r="I106" s="52" t="n"/>
      <c r="J106" s="49">
        <f>IF(A106="","",IF(H106&lt;=0,"Paid",IF(AND(I106&lt;TODAY(),I106&lt;&gt;""),"Overdue","Open")))</f>
        <v/>
      </c>
      <c r="K106" s="49" t="n"/>
    </row>
    <row r="107">
      <c r="A107" s="52" t="n"/>
      <c r="B107" s="49" t="n"/>
      <c r="C107" s="49" t="n"/>
      <c r="D107" s="49" t="n"/>
      <c r="E107" s="51" t="n"/>
      <c r="F107" s="51" t="n"/>
      <c r="G107" s="52" t="n"/>
      <c r="H107" s="51">
        <f>IFERROR(E107-F107,0)</f>
        <v/>
      </c>
      <c r="I107" s="52" t="n"/>
      <c r="J107" s="49">
        <f>IF(A107="","",IF(H107&lt;=0,"Paid",IF(AND(I107&lt;TODAY(),I107&lt;&gt;""),"Overdue","Open")))</f>
        <v/>
      </c>
      <c r="K107" s="49" t="n"/>
    </row>
    <row r="108">
      <c r="A108" s="52" t="n"/>
      <c r="B108" s="49" t="n"/>
      <c r="C108" s="49" t="n"/>
      <c r="D108" s="49" t="n"/>
      <c r="E108" s="51" t="n"/>
      <c r="F108" s="51" t="n"/>
      <c r="G108" s="52" t="n"/>
      <c r="H108" s="51">
        <f>IFERROR(E108-F108,0)</f>
        <v/>
      </c>
      <c r="I108" s="52" t="n"/>
      <c r="J108" s="49">
        <f>IF(A108="","",IF(H108&lt;=0,"Paid",IF(AND(I108&lt;TODAY(),I108&lt;&gt;""),"Overdue","Open")))</f>
        <v/>
      </c>
      <c r="K108" s="49" t="n"/>
    </row>
    <row r="109">
      <c r="A109" s="52" t="n"/>
      <c r="B109" s="49" t="n"/>
      <c r="C109" s="49" t="n"/>
      <c r="D109" s="49" t="n"/>
      <c r="E109" s="51" t="n"/>
      <c r="F109" s="51" t="n"/>
      <c r="G109" s="52" t="n"/>
      <c r="H109" s="51">
        <f>IFERROR(E109-F109,0)</f>
        <v/>
      </c>
      <c r="I109" s="52" t="n"/>
      <c r="J109" s="49">
        <f>IF(A109="","",IF(H109&lt;=0,"Paid",IF(AND(I109&lt;TODAY(),I109&lt;&gt;""),"Overdue","Open")))</f>
        <v/>
      </c>
      <c r="K109" s="49" t="n"/>
    </row>
    <row r="110">
      <c r="A110" s="52" t="n"/>
      <c r="B110" s="49" t="n"/>
      <c r="C110" s="49" t="n"/>
      <c r="D110" s="49" t="n"/>
      <c r="E110" s="51" t="n"/>
      <c r="F110" s="51" t="n"/>
      <c r="G110" s="52" t="n"/>
      <c r="H110" s="51">
        <f>IFERROR(E110-F110,0)</f>
        <v/>
      </c>
      <c r="I110" s="52" t="n"/>
      <c r="J110" s="49">
        <f>IF(A110="","",IF(H110&lt;=0,"Paid",IF(AND(I110&lt;TODAY(),I110&lt;&gt;""),"Overdue","Open")))</f>
        <v/>
      </c>
      <c r="K110" s="49" t="n"/>
    </row>
    <row r="111">
      <c r="A111" s="52" t="n"/>
      <c r="B111" s="49" t="n"/>
      <c r="C111" s="49" t="n"/>
      <c r="D111" s="49" t="n"/>
      <c r="E111" s="51" t="n"/>
      <c r="F111" s="51" t="n"/>
      <c r="G111" s="52" t="n"/>
      <c r="H111" s="51">
        <f>IFERROR(E111-F111,0)</f>
        <v/>
      </c>
      <c r="I111" s="52" t="n"/>
      <c r="J111" s="49">
        <f>IF(A111="","",IF(H111&lt;=0,"Paid",IF(AND(I111&lt;TODAY(),I111&lt;&gt;""),"Overdue","Open")))</f>
        <v/>
      </c>
      <c r="K111" s="49" t="n"/>
    </row>
    <row r="112">
      <c r="A112" s="52" t="n"/>
      <c r="B112" s="49" t="n"/>
      <c r="C112" s="49" t="n"/>
      <c r="D112" s="49" t="n"/>
      <c r="E112" s="51" t="n"/>
      <c r="F112" s="51" t="n"/>
      <c r="G112" s="52" t="n"/>
      <c r="H112" s="51">
        <f>IFERROR(E112-F112,0)</f>
        <v/>
      </c>
      <c r="I112" s="52" t="n"/>
      <c r="J112" s="49">
        <f>IF(A112="","",IF(H112&lt;=0,"Paid",IF(AND(I112&lt;TODAY(),I112&lt;&gt;""),"Overdue","Open")))</f>
        <v/>
      </c>
      <c r="K112" s="49" t="n"/>
    </row>
    <row r="113">
      <c r="A113" s="52" t="n"/>
      <c r="B113" s="49" t="n"/>
      <c r="C113" s="49" t="n"/>
      <c r="D113" s="49" t="n"/>
      <c r="E113" s="51" t="n"/>
      <c r="F113" s="51" t="n"/>
      <c r="G113" s="52" t="n"/>
      <c r="H113" s="51">
        <f>IFERROR(E113-F113,0)</f>
        <v/>
      </c>
      <c r="I113" s="52" t="n"/>
      <c r="J113" s="49">
        <f>IF(A113="","",IF(H113&lt;=0,"Paid",IF(AND(I113&lt;TODAY(),I113&lt;&gt;""),"Overdue","Open")))</f>
        <v/>
      </c>
      <c r="K113" s="49" t="n"/>
    </row>
    <row r="114">
      <c r="A114" s="52" t="n"/>
      <c r="B114" s="49" t="n"/>
      <c r="C114" s="49" t="n"/>
      <c r="D114" s="49" t="n"/>
      <c r="E114" s="51" t="n"/>
      <c r="F114" s="51" t="n"/>
      <c r="G114" s="52" t="n"/>
      <c r="H114" s="51">
        <f>IFERROR(E114-F114,0)</f>
        <v/>
      </c>
      <c r="I114" s="52" t="n"/>
      <c r="J114" s="49">
        <f>IF(A114="","",IF(H114&lt;=0,"Paid",IF(AND(I114&lt;TODAY(),I114&lt;&gt;""),"Overdue","Open")))</f>
        <v/>
      </c>
      <c r="K114" s="49" t="n"/>
    </row>
    <row r="115">
      <c r="A115" s="52" t="n"/>
      <c r="B115" s="49" t="n"/>
      <c r="C115" s="49" t="n"/>
      <c r="D115" s="49" t="n"/>
      <c r="E115" s="51" t="n"/>
      <c r="F115" s="51" t="n"/>
      <c r="G115" s="52" t="n"/>
      <c r="H115" s="51">
        <f>IFERROR(E115-F115,0)</f>
        <v/>
      </c>
      <c r="I115" s="52" t="n"/>
      <c r="J115" s="49">
        <f>IF(A115="","",IF(H115&lt;=0,"Paid",IF(AND(I115&lt;TODAY(),I115&lt;&gt;""),"Overdue","Open")))</f>
        <v/>
      </c>
      <c r="K115" s="49" t="n"/>
    </row>
    <row r="116">
      <c r="A116" s="52" t="n"/>
      <c r="B116" s="49" t="n"/>
      <c r="C116" s="49" t="n"/>
      <c r="D116" s="49" t="n"/>
      <c r="E116" s="51" t="n"/>
      <c r="F116" s="51" t="n"/>
      <c r="G116" s="52" t="n"/>
      <c r="H116" s="51">
        <f>IFERROR(E116-F116,0)</f>
        <v/>
      </c>
      <c r="I116" s="52" t="n"/>
      <c r="J116" s="49">
        <f>IF(A116="","",IF(H116&lt;=0,"Paid",IF(AND(I116&lt;TODAY(),I116&lt;&gt;""),"Overdue","Open")))</f>
        <v/>
      </c>
      <c r="K116" s="49" t="n"/>
    </row>
    <row r="117">
      <c r="A117" s="52" t="n"/>
      <c r="B117" s="49" t="n"/>
      <c r="C117" s="49" t="n"/>
      <c r="D117" s="49" t="n"/>
      <c r="E117" s="51" t="n"/>
      <c r="F117" s="51" t="n"/>
      <c r="G117" s="52" t="n"/>
      <c r="H117" s="51">
        <f>IFERROR(E117-F117,0)</f>
        <v/>
      </c>
      <c r="I117" s="52" t="n"/>
      <c r="J117" s="49">
        <f>IF(A117="","",IF(H117&lt;=0,"Paid",IF(AND(I117&lt;TODAY(),I117&lt;&gt;""),"Overdue","Open")))</f>
        <v/>
      </c>
      <c r="K117" s="49" t="n"/>
    </row>
    <row r="118">
      <c r="A118" s="52" t="n"/>
      <c r="B118" s="49" t="n"/>
      <c r="C118" s="49" t="n"/>
      <c r="D118" s="49" t="n"/>
      <c r="E118" s="51" t="n"/>
      <c r="F118" s="51" t="n"/>
      <c r="G118" s="52" t="n"/>
      <c r="H118" s="51">
        <f>IFERROR(E118-F118,0)</f>
        <v/>
      </c>
      <c r="I118" s="52" t="n"/>
      <c r="J118" s="49">
        <f>IF(A118="","",IF(H118&lt;=0,"Paid",IF(AND(I118&lt;TODAY(),I118&lt;&gt;""),"Overdue","Open")))</f>
        <v/>
      </c>
      <c r="K118" s="49" t="n"/>
    </row>
    <row r="119">
      <c r="A119" s="52" t="n"/>
      <c r="B119" s="49" t="n"/>
      <c r="C119" s="49" t="n"/>
      <c r="D119" s="49" t="n"/>
      <c r="E119" s="51" t="n"/>
      <c r="F119" s="51" t="n"/>
      <c r="G119" s="52" t="n"/>
      <c r="H119" s="51">
        <f>IFERROR(E119-F119,0)</f>
        <v/>
      </c>
      <c r="I119" s="52" t="n"/>
      <c r="J119" s="49">
        <f>IF(A119="","",IF(H119&lt;=0,"Paid",IF(AND(I119&lt;TODAY(),I119&lt;&gt;""),"Overdue","Open")))</f>
        <v/>
      </c>
      <c r="K119" s="49" t="n"/>
    </row>
    <row r="120">
      <c r="A120" s="52" t="n"/>
      <c r="B120" s="49" t="n"/>
      <c r="C120" s="49" t="n"/>
      <c r="D120" s="49" t="n"/>
      <c r="E120" s="51" t="n"/>
      <c r="F120" s="51" t="n"/>
      <c r="G120" s="52" t="n"/>
      <c r="H120" s="51">
        <f>IFERROR(E120-F120,0)</f>
        <v/>
      </c>
      <c r="I120" s="52" t="n"/>
      <c r="J120" s="49">
        <f>IF(A120="","",IF(H120&lt;=0,"Paid",IF(AND(I120&lt;TODAY(),I120&lt;&gt;""),"Overdue","Open")))</f>
        <v/>
      </c>
      <c r="K120" s="49" t="n"/>
    </row>
    <row r="121">
      <c r="A121" s="52" t="n"/>
      <c r="B121" s="49" t="n"/>
      <c r="C121" s="49" t="n"/>
      <c r="D121" s="49" t="n"/>
      <c r="E121" s="51" t="n"/>
      <c r="F121" s="51" t="n"/>
      <c r="G121" s="52" t="n"/>
      <c r="H121" s="51">
        <f>IFERROR(E121-F121,0)</f>
        <v/>
      </c>
      <c r="I121" s="52" t="n"/>
      <c r="J121" s="49">
        <f>IF(A121="","",IF(H121&lt;=0,"Paid",IF(AND(I121&lt;TODAY(),I121&lt;&gt;""),"Overdue","Open")))</f>
        <v/>
      </c>
      <c r="K121" s="49" t="n"/>
    </row>
    <row r="122">
      <c r="A122" s="52" t="n"/>
      <c r="B122" s="49" t="n"/>
      <c r="C122" s="49" t="n"/>
      <c r="D122" s="49" t="n"/>
      <c r="E122" s="51" t="n"/>
      <c r="F122" s="51" t="n"/>
      <c r="G122" s="52" t="n"/>
      <c r="H122" s="51">
        <f>IFERROR(E122-F122,0)</f>
        <v/>
      </c>
      <c r="I122" s="52" t="n"/>
      <c r="J122" s="49">
        <f>IF(A122="","",IF(H122&lt;=0,"Paid",IF(AND(I122&lt;TODAY(),I122&lt;&gt;""),"Overdue","Open")))</f>
        <v/>
      </c>
      <c r="K122" s="49" t="n"/>
    </row>
    <row r="123">
      <c r="A123" s="52" t="n"/>
      <c r="B123" s="49" t="n"/>
      <c r="C123" s="49" t="n"/>
      <c r="D123" s="49" t="n"/>
      <c r="E123" s="51" t="n"/>
      <c r="F123" s="51" t="n"/>
      <c r="G123" s="52" t="n"/>
      <c r="H123" s="51">
        <f>IFERROR(E123-F123,0)</f>
        <v/>
      </c>
      <c r="I123" s="52" t="n"/>
      <c r="J123" s="49">
        <f>IF(A123="","",IF(H123&lt;=0,"Paid",IF(AND(I123&lt;TODAY(),I123&lt;&gt;""),"Overdue","Open")))</f>
        <v/>
      </c>
      <c r="K123" s="49" t="n"/>
    </row>
    <row r="124">
      <c r="A124" s="52" t="n"/>
      <c r="B124" s="49" t="n"/>
      <c r="C124" s="49" t="n"/>
      <c r="D124" s="49" t="n"/>
      <c r="E124" s="51" t="n"/>
      <c r="F124" s="51" t="n"/>
      <c r="G124" s="52" t="n"/>
      <c r="H124" s="51">
        <f>IFERROR(E124-F124,0)</f>
        <v/>
      </c>
      <c r="I124" s="52" t="n"/>
      <c r="J124" s="49">
        <f>IF(A124="","",IF(H124&lt;=0,"Paid",IF(AND(I124&lt;TODAY(),I124&lt;&gt;""),"Overdue","Open")))</f>
        <v/>
      </c>
      <c r="K124" s="49" t="n"/>
    </row>
    <row r="125">
      <c r="A125" s="52" t="n"/>
      <c r="B125" s="49" t="n"/>
      <c r="C125" s="49" t="n"/>
      <c r="D125" s="49" t="n"/>
      <c r="E125" s="51" t="n"/>
      <c r="F125" s="51" t="n"/>
      <c r="G125" s="52" t="n"/>
      <c r="H125" s="51">
        <f>IFERROR(E125-F125,0)</f>
        <v/>
      </c>
      <c r="I125" s="52" t="n"/>
      <c r="J125" s="49">
        <f>IF(A125="","",IF(H125&lt;=0,"Paid",IF(AND(I125&lt;TODAY(),I125&lt;&gt;""),"Overdue","Open")))</f>
        <v/>
      </c>
      <c r="K125" s="49" t="n"/>
    </row>
    <row r="126">
      <c r="A126" s="52" t="n"/>
      <c r="B126" s="49" t="n"/>
      <c r="C126" s="49" t="n"/>
      <c r="D126" s="49" t="n"/>
      <c r="E126" s="51" t="n"/>
      <c r="F126" s="51" t="n"/>
      <c r="G126" s="52" t="n"/>
      <c r="H126" s="51">
        <f>IFERROR(E126-F126,0)</f>
        <v/>
      </c>
      <c r="I126" s="52" t="n"/>
      <c r="J126" s="49">
        <f>IF(A126="","",IF(H126&lt;=0,"Paid",IF(AND(I126&lt;TODAY(),I126&lt;&gt;""),"Overdue","Open")))</f>
        <v/>
      </c>
      <c r="K126" s="49" t="n"/>
    </row>
    <row r="127">
      <c r="A127" s="52" t="n"/>
      <c r="B127" s="49" t="n"/>
      <c r="C127" s="49" t="n"/>
      <c r="D127" s="49" t="n"/>
      <c r="E127" s="51" t="n"/>
      <c r="F127" s="51" t="n"/>
      <c r="G127" s="52" t="n"/>
      <c r="H127" s="51">
        <f>IFERROR(E127-F127,0)</f>
        <v/>
      </c>
      <c r="I127" s="52" t="n"/>
      <c r="J127" s="49">
        <f>IF(A127="","",IF(H127&lt;=0,"Paid",IF(AND(I127&lt;TODAY(),I127&lt;&gt;""),"Overdue","Open")))</f>
        <v/>
      </c>
      <c r="K127" s="49" t="n"/>
    </row>
    <row r="128">
      <c r="A128" s="52" t="n"/>
      <c r="B128" s="49" t="n"/>
      <c r="C128" s="49" t="n"/>
      <c r="D128" s="49" t="n"/>
      <c r="E128" s="51" t="n"/>
      <c r="F128" s="51" t="n"/>
      <c r="G128" s="52" t="n"/>
      <c r="H128" s="51">
        <f>IFERROR(E128-F128,0)</f>
        <v/>
      </c>
      <c r="I128" s="52" t="n"/>
      <c r="J128" s="49">
        <f>IF(A128="","",IF(H128&lt;=0,"Paid",IF(AND(I128&lt;TODAY(),I128&lt;&gt;""),"Overdue","Open")))</f>
        <v/>
      </c>
      <c r="K128" s="49" t="n"/>
    </row>
    <row r="129">
      <c r="A129" s="52" t="n"/>
      <c r="B129" s="49" t="n"/>
      <c r="C129" s="49" t="n"/>
      <c r="D129" s="49" t="n"/>
      <c r="E129" s="51" t="n"/>
      <c r="F129" s="51" t="n"/>
      <c r="G129" s="52" t="n"/>
      <c r="H129" s="51">
        <f>IFERROR(E129-F129,0)</f>
        <v/>
      </c>
      <c r="I129" s="52" t="n"/>
      <c r="J129" s="49">
        <f>IF(A129="","",IF(H129&lt;=0,"Paid",IF(AND(I129&lt;TODAY(),I129&lt;&gt;""),"Overdue","Open")))</f>
        <v/>
      </c>
      <c r="K129" s="49" t="n"/>
    </row>
    <row r="130">
      <c r="A130" s="52" t="n"/>
      <c r="B130" s="49" t="n"/>
      <c r="C130" s="49" t="n"/>
      <c r="D130" s="49" t="n"/>
      <c r="E130" s="51" t="n"/>
      <c r="F130" s="51" t="n"/>
      <c r="G130" s="52" t="n"/>
      <c r="H130" s="51">
        <f>IFERROR(E130-F130,0)</f>
        <v/>
      </c>
      <c r="I130" s="52" t="n"/>
      <c r="J130" s="49">
        <f>IF(A130="","",IF(H130&lt;=0,"Paid",IF(AND(I130&lt;TODAY(),I130&lt;&gt;""),"Overdue","Open")))</f>
        <v/>
      </c>
      <c r="K130" s="49" t="n"/>
    </row>
    <row r="131">
      <c r="A131" s="52" t="n"/>
      <c r="B131" s="49" t="n"/>
      <c r="C131" s="49" t="n"/>
      <c r="D131" s="49" t="n"/>
      <c r="E131" s="51" t="n"/>
      <c r="F131" s="51" t="n"/>
      <c r="G131" s="52" t="n"/>
      <c r="H131" s="51">
        <f>IFERROR(E131-F131,0)</f>
        <v/>
      </c>
      <c r="I131" s="52" t="n"/>
      <c r="J131" s="49">
        <f>IF(A131="","",IF(H131&lt;=0,"Paid",IF(AND(I131&lt;TODAY(),I131&lt;&gt;""),"Overdue","Open")))</f>
        <v/>
      </c>
      <c r="K131" s="49" t="n"/>
    </row>
    <row r="132">
      <c r="A132" s="52" t="n"/>
      <c r="B132" s="49" t="n"/>
      <c r="C132" s="49" t="n"/>
      <c r="D132" s="49" t="n"/>
      <c r="E132" s="51" t="n"/>
      <c r="F132" s="51" t="n"/>
      <c r="G132" s="52" t="n"/>
      <c r="H132" s="51">
        <f>IFERROR(E132-F132,0)</f>
        <v/>
      </c>
      <c r="I132" s="52" t="n"/>
      <c r="J132" s="49">
        <f>IF(A132="","",IF(H132&lt;=0,"Paid",IF(AND(I132&lt;TODAY(),I132&lt;&gt;""),"Overdue","Open")))</f>
        <v/>
      </c>
      <c r="K132" s="49" t="n"/>
    </row>
    <row r="133">
      <c r="A133" s="52" t="n"/>
      <c r="B133" s="49" t="n"/>
      <c r="C133" s="49" t="n"/>
      <c r="D133" s="49" t="n"/>
      <c r="E133" s="51" t="n"/>
      <c r="F133" s="51" t="n"/>
      <c r="G133" s="52" t="n"/>
      <c r="H133" s="51">
        <f>IFERROR(E133-F133,0)</f>
        <v/>
      </c>
      <c r="I133" s="52" t="n"/>
      <c r="J133" s="49">
        <f>IF(A133="","",IF(H133&lt;=0,"Paid",IF(AND(I133&lt;TODAY(),I133&lt;&gt;""),"Overdue","Open")))</f>
        <v/>
      </c>
      <c r="K133" s="49" t="n"/>
    </row>
    <row r="134">
      <c r="A134" s="52" t="n"/>
      <c r="B134" s="49" t="n"/>
      <c r="C134" s="49" t="n"/>
      <c r="D134" s="49" t="n"/>
      <c r="E134" s="51" t="n"/>
      <c r="F134" s="51" t="n"/>
      <c r="G134" s="52" t="n"/>
      <c r="H134" s="51">
        <f>IFERROR(E134-F134,0)</f>
        <v/>
      </c>
      <c r="I134" s="52" t="n"/>
      <c r="J134" s="49">
        <f>IF(A134="","",IF(H134&lt;=0,"Paid",IF(AND(I134&lt;TODAY(),I134&lt;&gt;""),"Overdue","Open")))</f>
        <v/>
      </c>
      <c r="K134" s="49" t="n"/>
    </row>
    <row r="135">
      <c r="A135" s="52" t="n"/>
      <c r="B135" s="49" t="n"/>
      <c r="C135" s="49" t="n"/>
      <c r="D135" s="49" t="n"/>
      <c r="E135" s="51" t="n"/>
      <c r="F135" s="51" t="n"/>
      <c r="G135" s="52" t="n"/>
      <c r="H135" s="51">
        <f>IFERROR(E135-F135,0)</f>
        <v/>
      </c>
      <c r="I135" s="52" t="n"/>
      <c r="J135" s="49">
        <f>IF(A135="","",IF(H135&lt;=0,"Paid",IF(AND(I135&lt;TODAY(),I135&lt;&gt;""),"Overdue","Open")))</f>
        <v/>
      </c>
      <c r="K135" s="49" t="n"/>
    </row>
    <row r="136">
      <c r="A136" s="52" t="n"/>
      <c r="B136" s="49" t="n"/>
      <c r="C136" s="49" t="n"/>
      <c r="D136" s="49" t="n"/>
      <c r="E136" s="51" t="n"/>
      <c r="F136" s="51" t="n"/>
      <c r="G136" s="52" t="n"/>
      <c r="H136" s="51">
        <f>IFERROR(E136-F136,0)</f>
        <v/>
      </c>
      <c r="I136" s="52" t="n"/>
      <c r="J136" s="49">
        <f>IF(A136="","",IF(H136&lt;=0,"Paid",IF(AND(I136&lt;TODAY(),I136&lt;&gt;""),"Overdue","Open")))</f>
        <v/>
      </c>
      <c r="K136" s="49" t="n"/>
    </row>
    <row r="137">
      <c r="A137" s="52" t="n"/>
      <c r="B137" s="49" t="n"/>
      <c r="C137" s="49" t="n"/>
      <c r="D137" s="49" t="n"/>
      <c r="E137" s="51" t="n"/>
      <c r="F137" s="51" t="n"/>
      <c r="G137" s="52" t="n"/>
      <c r="H137" s="51">
        <f>IFERROR(E137-F137,0)</f>
        <v/>
      </c>
      <c r="I137" s="52" t="n"/>
      <c r="J137" s="49">
        <f>IF(A137="","",IF(H137&lt;=0,"Paid",IF(AND(I137&lt;TODAY(),I137&lt;&gt;""),"Overdue","Open")))</f>
        <v/>
      </c>
      <c r="K137" s="49" t="n"/>
    </row>
    <row r="138">
      <c r="A138" s="52" t="n"/>
      <c r="B138" s="49" t="n"/>
      <c r="C138" s="49" t="n"/>
      <c r="D138" s="49" t="n"/>
      <c r="E138" s="51" t="n"/>
      <c r="F138" s="51" t="n"/>
      <c r="G138" s="52" t="n"/>
      <c r="H138" s="51">
        <f>IFERROR(E138-F138,0)</f>
        <v/>
      </c>
      <c r="I138" s="52" t="n"/>
      <c r="J138" s="49">
        <f>IF(A138="","",IF(H138&lt;=0,"Paid",IF(AND(I138&lt;TODAY(),I138&lt;&gt;""),"Overdue","Open")))</f>
        <v/>
      </c>
      <c r="K138" s="49" t="n"/>
    </row>
    <row r="139">
      <c r="A139" s="52" t="n"/>
      <c r="B139" s="49" t="n"/>
      <c r="C139" s="49" t="n"/>
      <c r="D139" s="49" t="n"/>
      <c r="E139" s="51" t="n"/>
      <c r="F139" s="51" t="n"/>
      <c r="G139" s="52" t="n"/>
      <c r="H139" s="51">
        <f>IFERROR(E139-F139,0)</f>
        <v/>
      </c>
      <c r="I139" s="52" t="n"/>
      <c r="J139" s="49">
        <f>IF(A139="","",IF(H139&lt;=0,"Paid",IF(AND(I139&lt;TODAY(),I139&lt;&gt;""),"Overdue","Open")))</f>
        <v/>
      </c>
      <c r="K139" s="49" t="n"/>
    </row>
    <row r="140">
      <c r="A140" s="52" t="n"/>
      <c r="B140" s="49" t="n"/>
      <c r="C140" s="49" t="n"/>
      <c r="D140" s="49" t="n"/>
      <c r="E140" s="51" t="n"/>
      <c r="F140" s="51" t="n"/>
      <c r="G140" s="52" t="n"/>
      <c r="H140" s="51">
        <f>IFERROR(E140-F140,0)</f>
        <v/>
      </c>
      <c r="I140" s="52" t="n"/>
      <c r="J140" s="49">
        <f>IF(A140="","",IF(H140&lt;=0,"Paid",IF(AND(I140&lt;TODAY(),I140&lt;&gt;""),"Overdue","Open")))</f>
        <v/>
      </c>
      <c r="K140" s="49" t="n"/>
    </row>
    <row r="141">
      <c r="A141" s="52" t="n"/>
      <c r="B141" s="49" t="n"/>
      <c r="C141" s="49" t="n"/>
      <c r="D141" s="49" t="n"/>
      <c r="E141" s="51" t="n"/>
      <c r="F141" s="51" t="n"/>
      <c r="G141" s="52" t="n"/>
      <c r="H141" s="51">
        <f>IFERROR(E141-F141,0)</f>
        <v/>
      </c>
      <c r="I141" s="52" t="n"/>
      <c r="J141" s="49">
        <f>IF(A141="","",IF(H141&lt;=0,"Paid",IF(AND(I141&lt;TODAY(),I141&lt;&gt;""),"Overdue","Open")))</f>
        <v/>
      </c>
      <c r="K141" s="49" t="n"/>
    </row>
    <row r="142">
      <c r="A142" s="52" t="n"/>
      <c r="B142" s="49" t="n"/>
      <c r="C142" s="49" t="n"/>
      <c r="D142" s="49" t="n"/>
      <c r="E142" s="51" t="n"/>
      <c r="F142" s="51" t="n"/>
      <c r="G142" s="52" t="n"/>
      <c r="H142" s="51">
        <f>IFERROR(E142-F142,0)</f>
        <v/>
      </c>
      <c r="I142" s="52" t="n"/>
      <c r="J142" s="49">
        <f>IF(A142="","",IF(H142&lt;=0,"Paid",IF(AND(I142&lt;TODAY(),I142&lt;&gt;""),"Overdue","Open")))</f>
        <v/>
      </c>
      <c r="K142" s="49" t="n"/>
    </row>
    <row r="143">
      <c r="A143" s="52" t="n"/>
      <c r="B143" s="49" t="n"/>
      <c r="C143" s="49" t="n"/>
      <c r="D143" s="49" t="n"/>
      <c r="E143" s="51" t="n"/>
      <c r="F143" s="51" t="n"/>
      <c r="G143" s="52" t="n"/>
      <c r="H143" s="51">
        <f>IFERROR(E143-F143,0)</f>
        <v/>
      </c>
      <c r="I143" s="52" t="n"/>
      <c r="J143" s="49">
        <f>IF(A143="","",IF(H143&lt;=0,"Paid",IF(AND(I143&lt;TODAY(),I143&lt;&gt;""),"Overdue","Open")))</f>
        <v/>
      </c>
      <c r="K143" s="49" t="n"/>
    </row>
    <row r="144">
      <c r="A144" s="52" t="n"/>
      <c r="B144" s="49" t="n"/>
      <c r="C144" s="49" t="n"/>
      <c r="D144" s="49" t="n"/>
      <c r="E144" s="51" t="n"/>
      <c r="F144" s="51" t="n"/>
      <c r="G144" s="52" t="n"/>
      <c r="H144" s="51">
        <f>IFERROR(E144-F144,0)</f>
        <v/>
      </c>
      <c r="I144" s="52" t="n"/>
      <c r="J144" s="49">
        <f>IF(A144="","",IF(H144&lt;=0,"Paid",IF(AND(I144&lt;TODAY(),I144&lt;&gt;""),"Overdue","Open")))</f>
        <v/>
      </c>
      <c r="K144" s="49" t="n"/>
    </row>
    <row r="145">
      <c r="A145" s="52" t="n"/>
      <c r="B145" s="49" t="n"/>
      <c r="C145" s="49" t="n"/>
      <c r="D145" s="49" t="n"/>
      <c r="E145" s="51" t="n"/>
      <c r="F145" s="51" t="n"/>
      <c r="G145" s="52" t="n"/>
      <c r="H145" s="51">
        <f>IFERROR(E145-F145,0)</f>
        <v/>
      </c>
      <c r="I145" s="52" t="n"/>
      <c r="J145" s="49">
        <f>IF(A145="","",IF(H145&lt;=0,"Paid",IF(AND(I145&lt;TODAY(),I145&lt;&gt;""),"Overdue","Open")))</f>
        <v/>
      </c>
      <c r="K145" s="49" t="n"/>
    </row>
    <row r="146">
      <c r="A146" s="52" t="n"/>
      <c r="B146" s="49" t="n"/>
      <c r="C146" s="49" t="n"/>
      <c r="D146" s="49" t="n"/>
      <c r="E146" s="51" t="n"/>
      <c r="F146" s="51" t="n"/>
      <c r="G146" s="52" t="n"/>
      <c r="H146" s="51">
        <f>IFERROR(E146-F146,0)</f>
        <v/>
      </c>
      <c r="I146" s="52" t="n"/>
      <c r="J146" s="49">
        <f>IF(A146="","",IF(H146&lt;=0,"Paid",IF(AND(I146&lt;TODAY(),I146&lt;&gt;""),"Overdue","Open")))</f>
        <v/>
      </c>
      <c r="K146" s="49" t="n"/>
    </row>
    <row r="147">
      <c r="A147" s="52" t="n"/>
      <c r="B147" s="49" t="n"/>
      <c r="C147" s="49" t="n"/>
      <c r="D147" s="49" t="n"/>
      <c r="E147" s="51" t="n"/>
      <c r="F147" s="51" t="n"/>
      <c r="G147" s="52" t="n"/>
      <c r="H147" s="51">
        <f>IFERROR(E147-F147,0)</f>
        <v/>
      </c>
      <c r="I147" s="52" t="n"/>
      <c r="J147" s="49">
        <f>IF(A147="","",IF(H147&lt;=0,"Paid",IF(AND(I147&lt;TODAY(),I147&lt;&gt;""),"Overdue","Open")))</f>
        <v/>
      </c>
      <c r="K147" s="49" t="n"/>
    </row>
    <row r="148">
      <c r="A148" s="52" t="n"/>
      <c r="B148" s="49" t="n"/>
      <c r="C148" s="49" t="n"/>
      <c r="D148" s="49" t="n"/>
      <c r="E148" s="51" t="n"/>
      <c r="F148" s="51" t="n"/>
      <c r="G148" s="52" t="n"/>
      <c r="H148" s="51">
        <f>IFERROR(E148-F148,0)</f>
        <v/>
      </c>
      <c r="I148" s="52" t="n"/>
      <c r="J148" s="49">
        <f>IF(A148="","",IF(H148&lt;=0,"Paid",IF(AND(I148&lt;TODAY(),I148&lt;&gt;""),"Overdue","Open")))</f>
        <v/>
      </c>
      <c r="K148" s="49" t="n"/>
    </row>
    <row r="149">
      <c r="A149" s="52" t="n"/>
      <c r="B149" s="49" t="n"/>
      <c r="C149" s="49" t="n"/>
      <c r="D149" s="49" t="n"/>
      <c r="E149" s="51" t="n"/>
      <c r="F149" s="51" t="n"/>
      <c r="G149" s="52" t="n"/>
      <c r="H149" s="51">
        <f>IFERROR(E149-F149,0)</f>
        <v/>
      </c>
      <c r="I149" s="52" t="n"/>
      <c r="J149" s="49">
        <f>IF(A149="","",IF(H149&lt;=0,"Paid",IF(AND(I149&lt;TODAY(),I149&lt;&gt;""),"Overdue","Open")))</f>
        <v/>
      </c>
      <c r="K149" s="49" t="n"/>
    </row>
    <row r="150">
      <c r="A150" s="52" t="n"/>
      <c r="B150" s="49" t="n"/>
      <c r="C150" s="49" t="n"/>
      <c r="D150" s="49" t="n"/>
      <c r="E150" s="51" t="n"/>
      <c r="F150" s="51" t="n"/>
      <c r="G150" s="52" t="n"/>
      <c r="H150" s="51">
        <f>IFERROR(E150-F150,0)</f>
        <v/>
      </c>
      <c r="I150" s="52" t="n"/>
      <c r="J150" s="49">
        <f>IF(A150="","",IF(H150&lt;=0,"Paid",IF(AND(I150&lt;TODAY(),I150&lt;&gt;""),"Overdue","Open")))</f>
        <v/>
      </c>
      <c r="K150" s="49" t="n"/>
    </row>
    <row r="151">
      <c r="A151" s="52" t="n"/>
      <c r="B151" s="49" t="n"/>
      <c r="C151" s="49" t="n"/>
      <c r="D151" s="49" t="n"/>
      <c r="E151" s="51" t="n"/>
      <c r="F151" s="51" t="n"/>
      <c r="G151" s="52" t="n"/>
      <c r="H151" s="51">
        <f>IFERROR(E151-F151,0)</f>
        <v/>
      </c>
      <c r="I151" s="52" t="n"/>
      <c r="J151" s="49">
        <f>IF(A151="","",IF(H151&lt;=0,"Paid",IF(AND(I151&lt;TODAY(),I151&lt;&gt;""),"Overdue","Open")))</f>
        <v/>
      </c>
      <c r="K151" s="49" t="n"/>
    </row>
    <row r="152">
      <c r="A152" s="52" t="n"/>
      <c r="B152" s="49" t="n"/>
      <c r="C152" s="49" t="n"/>
      <c r="D152" s="49" t="n"/>
      <c r="E152" s="51" t="n"/>
      <c r="F152" s="51" t="n"/>
      <c r="G152" s="52" t="n"/>
      <c r="H152" s="51">
        <f>IFERROR(E152-F152,0)</f>
        <v/>
      </c>
      <c r="I152" s="52" t="n"/>
      <c r="J152" s="49">
        <f>IF(A152="","",IF(H152&lt;=0,"Paid",IF(AND(I152&lt;TODAY(),I152&lt;&gt;""),"Overdue","Open")))</f>
        <v/>
      </c>
      <c r="K152" s="49" t="n"/>
    </row>
    <row r="153">
      <c r="A153" s="52" t="n"/>
      <c r="B153" s="49" t="n"/>
      <c r="C153" s="49" t="n"/>
      <c r="D153" s="49" t="n"/>
      <c r="E153" s="51" t="n"/>
      <c r="F153" s="51" t="n"/>
      <c r="G153" s="52" t="n"/>
      <c r="H153" s="51">
        <f>IFERROR(E153-F153,0)</f>
        <v/>
      </c>
      <c r="I153" s="52" t="n"/>
      <c r="J153" s="49">
        <f>IF(A153="","",IF(H153&lt;=0,"Paid",IF(AND(I153&lt;TODAY(),I153&lt;&gt;""),"Overdue","Open")))</f>
        <v/>
      </c>
      <c r="K153" s="49" t="n"/>
    </row>
    <row r="154">
      <c r="A154" s="52" t="n"/>
      <c r="B154" s="49" t="n"/>
      <c r="C154" s="49" t="n"/>
      <c r="D154" s="49" t="n"/>
      <c r="E154" s="51" t="n"/>
      <c r="F154" s="51" t="n"/>
      <c r="G154" s="52" t="n"/>
      <c r="H154" s="51">
        <f>IFERROR(E154-F154,0)</f>
        <v/>
      </c>
      <c r="I154" s="52" t="n"/>
      <c r="J154" s="49">
        <f>IF(A154="","",IF(H154&lt;=0,"Paid",IF(AND(I154&lt;TODAY(),I154&lt;&gt;""),"Overdue","Open")))</f>
        <v/>
      </c>
      <c r="K154" s="49" t="n"/>
    </row>
    <row r="155">
      <c r="A155" s="52" t="n"/>
      <c r="B155" s="49" t="n"/>
      <c r="C155" s="49" t="n"/>
      <c r="D155" s="49" t="n"/>
      <c r="E155" s="51" t="n"/>
      <c r="F155" s="51" t="n"/>
      <c r="G155" s="52" t="n"/>
      <c r="H155" s="51">
        <f>IFERROR(E155-F155,0)</f>
        <v/>
      </c>
      <c r="I155" s="52" t="n"/>
      <c r="J155" s="49">
        <f>IF(A155="","",IF(H155&lt;=0,"Paid",IF(AND(I155&lt;TODAY(),I155&lt;&gt;""),"Overdue","Open")))</f>
        <v/>
      </c>
      <c r="K155" s="49" t="n"/>
    </row>
    <row r="156">
      <c r="A156" s="52" t="n"/>
      <c r="B156" s="49" t="n"/>
      <c r="C156" s="49" t="n"/>
      <c r="D156" s="49" t="n"/>
      <c r="E156" s="51" t="n"/>
      <c r="F156" s="51" t="n"/>
      <c r="G156" s="52" t="n"/>
      <c r="H156" s="51">
        <f>IFERROR(E156-F156,0)</f>
        <v/>
      </c>
      <c r="I156" s="52" t="n"/>
      <c r="J156" s="49">
        <f>IF(A156="","",IF(H156&lt;=0,"Paid",IF(AND(I156&lt;TODAY(),I156&lt;&gt;""),"Overdue","Open")))</f>
        <v/>
      </c>
      <c r="K156" s="49" t="n"/>
    </row>
    <row r="157">
      <c r="A157" s="52" t="n"/>
      <c r="B157" s="49" t="n"/>
      <c r="C157" s="49" t="n"/>
      <c r="D157" s="49" t="n"/>
      <c r="E157" s="51" t="n"/>
      <c r="F157" s="51" t="n"/>
      <c r="G157" s="52" t="n"/>
      <c r="H157" s="51">
        <f>IFERROR(E157-F157,0)</f>
        <v/>
      </c>
      <c r="I157" s="52" t="n"/>
      <c r="J157" s="49">
        <f>IF(A157="","",IF(H157&lt;=0,"Paid",IF(AND(I157&lt;TODAY(),I157&lt;&gt;""),"Overdue","Open")))</f>
        <v/>
      </c>
      <c r="K157" s="49" t="n"/>
    </row>
    <row r="158">
      <c r="A158" s="52" t="n"/>
      <c r="B158" s="49" t="n"/>
      <c r="C158" s="49" t="n"/>
      <c r="D158" s="49" t="n"/>
      <c r="E158" s="51" t="n"/>
      <c r="F158" s="51" t="n"/>
      <c r="G158" s="52" t="n"/>
      <c r="H158" s="51">
        <f>IFERROR(E158-F158,0)</f>
        <v/>
      </c>
      <c r="I158" s="52" t="n"/>
      <c r="J158" s="49">
        <f>IF(A158="","",IF(H158&lt;=0,"Paid",IF(AND(I158&lt;TODAY(),I158&lt;&gt;""),"Overdue","Open")))</f>
        <v/>
      </c>
      <c r="K158" s="49" t="n"/>
    </row>
    <row r="159">
      <c r="A159" s="52" t="n"/>
      <c r="B159" s="49" t="n"/>
      <c r="C159" s="49" t="n"/>
      <c r="D159" s="49" t="n"/>
      <c r="E159" s="51" t="n"/>
      <c r="F159" s="51" t="n"/>
      <c r="G159" s="52" t="n"/>
      <c r="H159" s="51">
        <f>IFERROR(E159-F159,0)</f>
        <v/>
      </c>
      <c r="I159" s="52" t="n"/>
      <c r="J159" s="49">
        <f>IF(A159="","",IF(H159&lt;=0,"Paid",IF(AND(I159&lt;TODAY(),I159&lt;&gt;""),"Overdue","Open")))</f>
        <v/>
      </c>
      <c r="K159" s="49" t="n"/>
    </row>
    <row r="160">
      <c r="A160" s="52" t="n"/>
      <c r="B160" s="49" t="n"/>
      <c r="C160" s="49" t="n"/>
      <c r="D160" s="49" t="n"/>
      <c r="E160" s="51" t="n"/>
      <c r="F160" s="51" t="n"/>
      <c r="G160" s="52" t="n"/>
      <c r="H160" s="51">
        <f>IFERROR(E160-F160,0)</f>
        <v/>
      </c>
      <c r="I160" s="52" t="n"/>
      <c r="J160" s="49">
        <f>IF(A160="","",IF(H160&lt;=0,"Paid",IF(AND(I160&lt;TODAY(),I160&lt;&gt;""),"Overdue","Open")))</f>
        <v/>
      </c>
      <c r="K160" s="49" t="n"/>
    </row>
    <row r="161">
      <c r="A161" s="52" t="n"/>
      <c r="B161" s="49" t="n"/>
      <c r="C161" s="49" t="n"/>
      <c r="D161" s="49" t="n"/>
      <c r="E161" s="51" t="n"/>
      <c r="F161" s="51" t="n"/>
      <c r="G161" s="52" t="n"/>
      <c r="H161" s="51">
        <f>IFERROR(E161-F161,0)</f>
        <v/>
      </c>
      <c r="I161" s="52" t="n"/>
      <c r="J161" s="49">
        <f>IF(A161="","",IF(H161&lt;=0,"Paid",IF(AND(I161&lt;TODAY(),I161&lt;&gt;""),"Overdue","Open")))</f>
        <v/>
      </c>
      <c r="K161" s="49" t="n"/>
    </row>
    <row r="162">
      <c r="A162" s="52" t="n"/>
      <c r="B162" s="49" t="n"/>
      <c r="C162" s="49" t="n"/>
      <c r="D162" s="49" t="n"/>
      <c r="E162" s="51" t="n"/>
      <c r="F162" s="51" t="n"/>
      <c r="G162" s="52" t="n"/>
      <c r="H162" s="51">
        <f>IFERROR(E162-F162,0)</f>
        <v/>
      </c>
      <c r="I162" s="52" t="n"/>
      <c r="J162" s="49">
        <f>IF(A162="","",IF(H162&lt;=0,"Paid",IF(AND(I162&lt;TODAY(),I162&lt;&gt;""),"Overdue","Open")))</f>
        <v/>
      </c>
      <c r="K162" s="49" t="n"/>
    </row>
    <row r="163">
      <c r="A163" s="52" t="n"/>
      <c r="B163" s="49" t="n"/>
      <c r="C163" s="49" t="n"/>
      <c r="D163" s="49" t="n"/>
      <c r="E163" s="51" t="n"/>
      <c r="F163" s="51" t="n"/>
      <c r="G163" s="52" t="n"/>
      <c r="H163" s="51">
        <f>IFERROR(E163-F163,0)</f>
        <v/>
      </c>
      <c r="I163" s="52" t="n"/>
      <c r="J163" s="49">
        <f>IF(A163="","",IF(H163&lt;=0,"Paid",IF(AND(I163&lt;TODAY(),I163&lt;&gt;""),"Overdue","Open")))</f>
        <v/>
      </c>
      <c r="K163" s="49" t="n"/>
    </row>
    <row r="164">
      <c r="A164" s="52" t="n"/>
      <c r="B164" s="49" t="n"/>
      <c r="C164" s="49" t="n"/>
      <c r="D164" s="49" t="n"/>
      <c r="E164" s="51" t="n"/>
      <c r="F164" s="51" t="n"/>
      <c r="G164" s="52" t="n"/>
      <c r="H164" s="51">
        <f>IFERROR(E164-F164,0)</f>
        <v/>
      </c>
      <c r="I164" s="52" t="n"/>
      <c r="J164" s="49">
        <f>IF(A164="","",IF(H164&lt;=0,"Paid",IF(AND(I164&lt;TODAY(),I164&lt;&gt;""),"Overdue","Open")))</f>
        <v/>
      </c>
      <c r="K164" s="49" t="n"/>
    </row>
    <row r="165">
      <c r="A165" s="52" t="n"/>
      <c r="B165" s="49" t="n"/>
      <c r="C165" s="49" t="n"/>
      <c r="D165" s="49" t="n"/>
      <c r="E165" s="51" t="n"/>
      <c r="F165" s="51" t="n"/>
      <c r="G165" s="52" t="n"/>
      <c r="H165" s="51">
        <f>IFERROR(E165-F165,0)</f>
        <v/>
      </c>
      <c r="I165" s="52" t="n"/>
      <c r="J165" s="49">
        <f>IF(A165="","",IF(H165&lt;=0,"Paid",IF(AND(I165&lt;TODAY(),I165&lt;&gt;""),"Overdue","Open")))</f>
        <v/>
      </c>
      <c r="K165" s="49" t="n"/>
    </row>
    <row r="166">
      <c r="A166" s="52" t="n"/>
      <c r="B166" s="49" t="n"/>
      <c r="C166" s="49" t="n"/>
      <c r="D166" s="49" t="n"/>
      <c r="E166" s="51" t="n"/>
      <c r="F166" s="51" t="n"/>
      <c r="G166" s="52" t="n"/>
      <c r="H166" s="51">
        <f>IFERROR(E166-F166,0)</f>
        <v/>
      </c>
      <c r="I166" s="52" t="n"/>
      <c r="J166" s="49">
        <f>IF(A166="","",IF(H166&lt;=0,"Paid",IF(AND(I166&lt;TODAY(),I166&lt;&gt;""),"Overdue","Open")))</f>
        <v/>
      </c>
      <c r="K166" s="49" t="n"/>
    </row>
    <row r="167">
      <c r="A167" s="52" t="n"/>
      <c r="B167" s="49" t="n"/>
      <c r="C167" s="49" t="n"/>
      <c r="D167" s="49" t="n"/>
      <c r="E167" s="51" t="n"/>
      <c r="F167" s="51" t="n"/>
      <c r="G167" s="52" t="n"/>
      <c r="H167" s="51">
        <f>IFERROR(E167-F167,0)</f>
        <v/>
      </c>
      <c r="I167" s="52" t="n"/>
      <c r="J167" s="49">
        <f>IF(A167="","",IF(H167&lt;=0,"Paid",IF(AND(I167&lt;TODAY(),I167&lt;&gt;""),"Overdue","Open")))</f>
        <v/>
      </c>
      <c r="K167" s="49" t="n"/>
    </row>
    <row r="168">
      <c r="A168" s="52" t="n"/>
      <c r="B168" s="49" t="n"/>
      <c r="C168" s="49" t="n"/>
      <c r="D168" s="49" t="n"/>
      <c r="E168" s="51" t="n"/>
      <c r="F168" s="51" t="n"/>
      <c r="G168" s="52" t="n"/>
      <c r="H168" s="51">
        <f>IFERROR(E168-F168,0)</f>
        <v/>
      </c>
      <c r="I168" s="52" t="n"/>
      <c r="J168" s="49">
        <f>IF(A168="","",IF(H168&lt;=0,"Paid",IF(AND(I168&lt;TODAY(),I168&lt;&gt;""),"Overdue","Open")))</f>
        <v/>
      </c>
      <c r="K168" s="49" t="n"/>
    </row>
    <row r="169">
      <c r="A169" s="52" t="n"/>
      <c r="B169" s="49" t="n"/>
      <c r="C169" s="49" t="n"/>
      <c r="D169" s="49" t="n"/>
      <c r="E169" s="51" t="n"/>
      <c r="F169" s="51" t="n"/>
      <c r="G169" s="52" t="n"/>
      <c r="H169" s="51">
        <f>IFERROR(E169-F169,0)</f>
        <v/>
      </c>
      <c r="I169" s="52" t="n"/>
      <c r="J169" s="49">
        <f>IF(A169="","",IF(H169&lt;=0,"Paid",IF(AND(I169&lt;TODAY(),I169&lt;&gt;""),"Overdue","Open")))</f>
        <v/>
      </c>
      <c r="K169" s="49" t="n"/>
    </row>
    <row r="170">
      <c r="A170" s="52" t="n"/>
      <c r="B170" s="49" t="n"/>
      <c r="C170" s="49" t="n"/>
      <c r="D170" s="49" t="n"/>
      <c r="E170" s="51" t="n"/>
      <c r="F170" s="51" t="n"/>
      <c r="G170" s="52" t="n"/>
      <c r="H170" s="51">
        <f>IFERROR(E170-F170,0)</f>
        <v/>
      </c>
      <c r="I170" s="52" t="n"/>
      <c r="J170" s="49">
        <f>IF(A170="","",IF(H170&lt;=0,"Paid",IF(AND(I170&lt;TODAY(),I170&lt;&gt;""),"Overdue","Open")))</f>
        <v/>
      </c>
      <c r="K170" s="49" t="n"/>
    </row>
    <row r="171">
      <c r="A171" s="52" t="n"/>
      <c r="B171" s="49" t="n"/>
      <c r="C171" s="49" t="n"/>
      <c r="D171" s="49" t="n"/>
      <c r="E171" s="51" t="n"/>
      <c r="F171" s="51" t="n"/>
      <c r="G171" s="52" t="n"/>
      <c r="H171" s="51">
        <f>IFERROR(E171-F171,0)</f>
        <v/>
      </c>
      <c r="I171" s="52" t="n"/>
      <c r="J171" s="49">
        <f>IF(A171="","",IF(H171&lt;=0,"Paid",IF(AND(I171&lt;TODAY(),I171&lt;&gt;""),"Overdue","Open")))</f>
        <v/>
      </c>
      <c r="K171" s="49" t="n"/>
    </row>
    <row r="172">
      <c r="A172" s="52" t="n"/>
      <c r="B172" s="49" t="n"/>
      <c r="C172" s="49" t="n"/>
      <c r="D172" s="49" t="n"/>
      <c r="E172" s="51" t="n"/>
      <c r="F172" s="51" t="n"/>
      <c r="G172" s="52" t="n"/>
      <c r="H172" s="51">
        <f>IFERROR(E172-F172,0)</f>
        <v/>
      </c>
      <c r="I172" s="52" t="n"/>
      <c r="J172" s="49">
        <f>IF(A172="","",IF(H172&lt;=0,"Paid",IF(AND(I172&lt;TODAY(),I172&lt;&gt;""),"Overdue","Open")))</f>
        <v/>
      </c>
      <c r="K172" s="49" t="n"/>
    </row>
    <row r="173">
      <c r="A173" s="52" t="n"/>
      <c r="B173" s="49" t="n"/>
      <c r="C173" s="49" t="n"/>
      <c r="D173" s="49" t="n"/>
      <c r="E173" s="51" t="n"/>
      <c r="F173" s="51" t="n"/>
      <c r="G173" s="52" t="n"/>
      <c r="H173" s="51">
        <f>IFERROR(E173-F173,0)</f>
        <v/>
      </c>
      <c r="I173" s="52" t="n"/>
      <c r="J173" s="49">
        <f>IF(A173="","",IF(H173&lt;=0,"Paid",IF(AND(I173&lt;TODAY(),I173&lt;&gt;""),"Overdue","Open")))</f>
        <v/>
      </c>
      <c r="K173" s="49" t="n"/>
    </row>
    <row r="174">
      <c r="A174" s="52" t="n"/>
      <c r="B174" s="49" t="n"/>
      <c r="C174" s="49" t="n"/>
      <c r="D174" s="49" t="n"/>
      <c r="E174" s="51" t="n"/>
      <c r="F174" s="51" t="n"/>
      <c r="G174" s="52" t="n"/>
      <c r="H174" s="51">
        <f>IFERROR(E174-F174,0)</f>
        <v/>
      </c>
      <c r="I174" s="52" t="n"/>
      <c r="J174" s="49">
        <f>IF(A174="","",IF(H174&lt;=0,"Paid",IF(AND(I174&lt;TODAY(),I174&lt;&gt;""),"Overdue","Open")))</f>
        <v/>
      </c>
      <c r="K174" s="49" t="n"/>
    </row>
    <row r="175">
      <c r="A175" s="52" t="n"/>
      <c r="B175" s="49" t="n"/>
      <c r="C175" s="49" t="n"/>
      <c r="D175" s="49" t="n"/>
      <c r="E175" s="51" t="n"/>
      <c r="F175" s="51" t="n"/>
      <c r="G175" s="52" t="n"/>
      <c r="H175" s="51">
        <f>IFERROR(E175-F175,0)</f>
        <v/>
      </c>
      <c r="I175" s="52" t="n"/>
      <c r="J175" s="49">
        <f>IF(A175="","",IF(H175&lt;=0,"Paid",IF(AND(I175&lt;TODAY(),I175&lt;&gt;""),"Overdue","Open")))</f>
        <v/>
      </c>
      <c r="K175" s="49" t="n"/>
    </row>
    <row r="176">
      <c r="A176" s="52" t="n"/>
      <c r="B176" s="49" t="n"/>
      <c r="C176" s="49" t="n"/>
      <c r="D176" s="49" t="n"/>
      <c r="E176" s="51" t="n"/>
      <c r="F176" s="51" t="n"/>
      <c r="G176" s="52" t="n"/>
      <c r="H176" s="51">
        <f>IFERROR(E176-F176,0)</f>
        <v/>
      </c>
      <c r="I176" s="52" t="n"/>
      <c r="J176" s="49">
        <f>IF(A176="","",IF(H176&lt;=0,"Paid",IF(AND(I176&lt;TODAY(),I176&lt;&gt;""),"Overdue","Open")))</f>
        <v/>
      </c>
      <c r="K176" s="49" t="n"/>
    </row>
    <row r="177">
      <c r="A177" s="52" t="n"/>
      <c r="B177" s="49" t="n"/>
      <c r="C177" s="49" t="n"/>
      <c r="D177" s="49" t="n"/>
      <c r="E177" s="51" t="n"/>
      <c r="F177" s="51" t="n"/>
      <c r="G177" s="52" t="n"/>
      <c r="H177" s="51">
        <f>IFERROR(E177-F177,0)</f>
        <v/>
      </c>
      <c r="I177" s="52" t="n"/>
      <c r="J177" s="49">
        <f>IF(A177="","",IF(H177&lt;=0,"Paid",IF(AND(I177&lt;TODAY(),I177&lt;&gt;""),"Overdue","Open")))</f>
        <v/>
      </c>
      <c r="K177" s="49" t="n"/>
    </row>
    <row r="178">
      <c r="A178" s="52" t="n"/>
      <c r="B178" s="49" t="n"/>
      <c r="C178" s="49" t="n"/>
      <c r="D178" s="49" t="n"/>
      <c r="E178" s="51" t="n"/>
      <c r="F178" s="51" t="n"/>
      <c r="G178" s="52" t="n"/>
      <c r="H178" s="51">
        <f>IFERROR(E178-F178,0)</f>
        <v/>
      </c>
      <c r="I178" s="52" t="n"/>
      <c r="J178" s="49">
        <f>IF(A178="","",IF(H178&lt;=0,"Paid",IF(AND(I178&lt;TODAY(),I178&lt;&gt;""),"Overdue","Open")))</f>
        <v/>
      </c>
      <c r="K178" s="49" t="n"/>
    </row>
    <row r="179">
      <c r="A179" s="52" t="n"/>
      <c r="B179" s="49" t="n"/>
      <c r="C179" s="49" t="n"/>
      <c r="D179" s="49" t="n"/>
      <c r="E179" s="51" t="n"/>
      <c r="F179" s="51" t="n"/>
      <c r="G179" s="52" t="n"/>
      <c r="H179" s="51">
        <f>IFERROR(E179-F179,0)</f>
        <v/>
      </c>
      <c r="I179" s="52" t="n"/>
      <c r="J179" s="49">
        <f>IF(A179="","",IF(H179&lt;=0,"Paid",IF(AND(I179&lt;TODAY(),I179&lt;&gt;""),"Overdue","Open")))</f>
        <v/>
      </c>
      <c r="K179" s="49" t="n"/>
    </row>
    <row r="180">
      <c r="A180" s="52" t="n"/>
      <c r="B180" s="49" t="n"/>
      <c r="C180" s="49" t="n"/>
      <c r="D180" s="49" t="n"/>
      <c r="E180" s="51" t="n"/>
      <c r="F180" s="51" t="n"/>
      <c r="G180" s="52" t="n"/>
      <c r="H180" s="51">
        <f>IFERROR(E180-F180,0)</f>
        <v/>
      </c>
      <c r="I180" s="52" t="n"/>
      <c r="J180" s="49">
        <f>IF(A180="","",IF(H180&lt;=0,"Paid",IF(AND(I180&lt;TODAY(),I180&lt;&gt;""),"Overdue","Open")))</f>
        <v/>
      </c>
      <c r="K180" s="49" t="n"/>
    </row>
    <row r="181">
      <c r="A181" s="52" t="n"/>
      <c r="B181" s="49" t="n"/>
      <c r="C181" s="49" t="n"/>
      <c r="D181" s="49" t="n"/>
      <c r="E181" s="51" t="n"/>
      <c r="F181" s="51" t="n"/>
      <c r="G181" s="52" t="n"/>
      <c r="H181" s="51">
        <f>IFERROR(E181-F181,0)</f>
        <v/>
      </c>
      <c r="I181" s="52" t="n"/>
      <c r="J181" s="49">
        <f>IF(A181="","",IF(H181&lt;=0,"Paid",IF(AND(I181&lt;TODAY(),I181&lt;&gt;""),"Overdue","Open")))</f>
        <v/>
      </c>
      <c r="K181" s="49" t="n"/>
    </row>
    <row r="182">
      <c r="A182" s="52" t="n"/>
      <c r="B182" s="49" t="n"/>
      <c r="C182" s="49" t="n"/>
      <c r="D182" s="49" t="n"/>
      <c r="E182" s="51" t="n"/>
      <c r="F182" s="51" t="n"/>
      <c r="G182" s="52" t="n"/>
      <c r="H182" s="51">
        <f>IFERROR(E182-F182,0)</f>
        <v/>
      </c>
      <c r="I182" s="52" t="n"/>
      <c r="J182" s="49">
        <f>IF(A182="","",IF(H182&lt;=0,"Paid",IF(AND(I182&lt;TODAY(),I182&lt;&gt;""),"Overdue","Open")))</f>
        <v/>
      </c>
      <c r="K182" s="49" t="n"/>
    </row>
    <row r="183">
      <c r="A183" s="52" t="n"/>
      <c r="B183" s="49" t="n"/>
      <c r="C183" s="49" t="n"/>
      <c r="D183" s="49" t="n"/>
      <c r="E183" s="51" t="n"/>
      <c r="F183" s="51" t="n"/>
      <c r="G183" s="52" t="n"/>
      <c r="H183" s="51">
        <f>IFERROR(E183-F183,0)</f>
        <v/>
      </c>
      <c r="I183" s="52" t="n"/>
      <c r="J183" s="49">
        <f>IF(A183="","",IF(H183&lt;=0,"Paid",IF(AND(I183&lt;TODAY(),I183&lt;&gt;""),"Overdue","Open")))</f>
        <v/>
      </c>
      <c r="K183" s="49" t="n"/>
    </row>
    <row r="184">
      <c r="A184" s="52" t="n"/>
      <c r="B184" s="49" t="n"/>
      <c r="C184" s="49" t="n"/>
      <c r="D184" s="49" t="n"/>
      <c r="E184" s="51" t="n"/>
      <c r="F184" s="51" t="n"/>
      <c r="G184" s="52" t="n"/>
      <c r="H184" s="51">
        <f>IFERROR(E184-F184,0)</f>
        <v/>
      </c>
      <c r="I184" s="52" t="n"/>
      <c r="J184" s="49">
        <f>IF(A184="","",IF(H184&lt;=0,"Paid",IF(AND(I184&lt;TODAY(),I184&lt;&gt;""),"Overdue","Open")))</f>
        <v/>
      </c>
      <c r="K184" s="49" t="n"/>
    </row>
    <row r="185">
      <c r="A185" s="52" t="n"/>
      <c r="B185" s="49" t="n"/>
      <c r="C185" s="49" t="n"/>
      <c r="D185" s="49" t="n"/>
      <c r="E185" s="51" t="n"/>
      <c r="F185" s="51" t="n"/>
      <c r="G185" s="52" t="n"/>
      <c r="H185" s="51">
        <f>IFERROR(E185-F185,0)</f>
        <v/>
      </c>
      <c r="I185" s="52" t="n"/>
      <c r="J185" s="49">
        <f>IF(A185="","",IF(H185&lt;=0,"Paid",IF(AND(I185&lt;TODAY(),I185&lt;&gt;""),"Overdue","Open")))</f>
        <v/>
      </c>
      <c r="K185" s="49" t="n"/>
    </row>
    <row r="186">
      <c r="A186" s="52" t="n"/>
      <c r="B186" s="49" t="n"/>
      <c r="C186" s="49" t="n"/>
      <c r="D186" s="49" t="n"/>
      <c r="E186" s="51" t="n"/>
      <c r="F186" s="51" t="n"/>
      <c r="G186" s="52" t="n"/>
      <c r="H186" s="51">
        <f>IFERROR(E186-F186,0)</f>
        <v/>
      </c>
      <c r="I186" s="52" t="n"/>
      <c r="J186" s="49">
        <f>IF(A186="","",IF(H186&lt;=0,"Paid",IF(AND(I186&lt;TODAY(),I186&lt;&gt;""),"Overdue","Open")))</f>
        <v/>
      </c>
      <c r="K186" s="49" t="n"/>
    </row>
    <row r="187">
      <c r="A187" s="52" t="n"/>
      <c r="B187" s="49" t="n"/>
      <c r="C187" s="49" t="n"/>
      <c r="D187" s="49" t="n"/>
      <c r="E187" s="51" t="n"/>
      <c r="F187" s="51" t="n"/>
      <c r="G187" s="52" t="n"/>
      <c r="H187" s="51">
        <f>IFERROR(E187-F187,0)</f>
        <v/>
      </c>
      <c r="I187" s="52" t="n"/>
      <c r="J187" s="49">
        <f>IF(A187="","",IF(H187&lt;=0,"Paid",IF(AND(I187&lt;TODAY(),I187&lt;&gt;""),"Overdue","Open")))</f>
        <v/>
      </c>
      <c r="K187" s="49" t="n"/>
    </row>
    <row r="188">
      <c r="A188" s="52" t="n"/>
      <c r="B188" s="49" t="n"/>
      <c r="C188" s="49" t="n"/>
      <c r="D188" s="49" t="n"/>
      <c r="E188" s="51" t="n"/>
      <c r="F188" s="51" t="n"/>
      <c r="G188" s="52" t="n"/>
      <c r="H188" s="51">
        <f>IFERROR(E188-F188,0)</f>
        <v/>
      </c>
      <c r="I188" s="52" t="n"/>
      <c r="J188" s="49">
        <f>IF(A188="","",IF(H188&lt;=0,"Paid",IF(AND(I188&lt;TODAY(),I188&lt;&gt;""),"Overdue","Open")))</f>
        <v/>
      </c>
      <c r="K188" s="49" t="n"/>
    </row>
    <row r="189">
      <c r="A189" s="52" t="n"/>
      <c r="B189" s="49" t="n"/>
      <c r="C189" s="49" t="n"/>
      <c r="D189" s="49" t="n"/>
      <c r="E189" s="51" t="n"/>
      <c r="F189" s="51" t="n"/>
      <c r="G189" s="52" t="n"/>
      <c r="H189" s="51">
        <f>IFERROR(E189-F189,0)</f>
        <v/>
      </c>
      <c r="I189" s="52" t="n"/>
      <c r="J189" s="49">
        <f>IF(A189="","",IF(H189&lt;=0,"Paid",IF(AND(I189&lt;TODAY(),I189&lt;&gt;""),"Overdue","Open")))</f>
        <v/>
      </c>
      <c r="K189" s="49" t="n"/>
    </row>
    <row r="190">
      <c r="A190" s="52" t="n"/>
      <c r="B190" s="49" t="n"/>
      <c r="C190" s="49" t="n"/>
      <c r="D190" s="49" t="n"/>
      <c r="E190" s="51" t="n"/>
      <c r="F190" s="51" t="n"/>
      <c r="G190" s="52" t="n"/>
      <c r="H190" s="51">
        <f>IFERROR(E190-F190,0)</f>
        <v/>
      </c>
      <c r="I190" s="52" t="n"/>
      <c r="J190" s="49">
        <f>IF(A190="","",IF(H190&lt;=0,"Paid",IF(AND(I190&lt;TODAY(),I190&lt;&gt;""),"Overdue","Open")))</f>
        <v/>
      </c>
      <c r="K190" s="49" t="n"/>
    </row>
    <row r="191">
      <c r="A191" s="52" t="n"/>
      <c r="B191" s="49" t="n"/>
      <c r="C191" s="49" t="n"/>
      <c r="D191" s="49" t="n"/>
      <c r="E191" s="51" t="n"/>
      <c r="F191" s="51" t="n"/>
      <c r="G191" s="52" t="n"/>
      <c r="H191" s="51">
        <f>IFERROR(E191-F191,0)</f>
        <v/>
      </c>
      <c r="I191" s="52" t="n"/>
      <c r="J191" s="49">
        <f>IF(A191="","",IF(H191&lt;=0,"Paid",IF(AND(I191&lt;TODAY(),I191&lt;&gt;""),"Overdue","Open")))</f>
        <v/>
      </c>
      <c r="K191" s="49" t="n"/>
    </row>
    <row r="192">
      <c r="A192" s="52" t="n"/>
      <c r="B192" s="49" t="n"/>
      <c r="C192" s="49" t="n"/>
      <c r="D192" s="49" t="n"/>
      <c r="E192" s="51" t="n"/>
      <c r="F192" s="51" t="n"/>
      <c r="G192" s="52" t="n"/>
      <c r="H192" s="51">
        <f>IFERROR(E192-F192,0)</f>
        <v/>
      </c>
      <c r="I192" s="52" t="n"/>
      <c r="J192" s="49">
        <f>IF(A192="","",IF(H192&lt;=0,"Paid",IF(AND(I192&lt;TODAY(),I192&lt;&gt;""),"Overdue","Open")))</f>
        <v/>
      </c>
      <c r="K192" s="49" t="n"/>
    </row>
    <row r="193">
      <c r="A193" s="52" t="n"/>
      <c r="B193" s="49" t="n"/>
      <c r="C193" s="49" t="n"/>
      <c r="D193" s="49" t="n"/>
      <c r="E193" s="51" t="n"/>
      <c r="F193" s="51" t="n"/>
      <c r="G193" s="52" t="n"/>
      <c r="H193" s="51">
        <f>IFERROR(E193-F193,0)</f>
        <v/>
      </c>
      <c r="I193" s="52" t="n"/>
      <c r="J193" s="49">
        <f>IF(A193="","",IF(H193&lt;=0,"Paid",IF(AND(I193&lt;TODAY(),I193&lt;&gt;""),"Overdue","Open")))</f>
        <v/>
      </c>
      <c r="K193" s="49" t="n"/>
    </row>
    <row r="194">
      <c r="A194" s="52" t="n"/>
      <c r="B194" s="49" t="n"/>
      <c r="C194" s="49" t="n"/>
      <c r="D194" s="49" t="n"/>
      <c r="E194" s="51" t="n"/>
      <c r="F194" s="51" t="n"/>
      <c r="G194" s="52" t="n"/>
      <c r="H194" s="51">
        <f>IFERROR(E194-F194,0)</f>
        <v/>
      </c>
      <c r="I194" s="52" t="n"/>
      <c r="J194" s="49">
        <f>IF(A194="","",IF(H194&lt;=0,"Paid",IF(AND(I194&lt;TODAY(),I194&lt;&gt;""),"Overdue","Open")))</f>
        <v/>
      </c>
      <c r="K194" s="49" t="n"/>
    </row>
    <row r="195">
      <c r="A195" s="52" t="n"/>
      <c r="B195" s="49" t="n"/>
      <c r="C195" s="49" t="n"/>
      <c r="D195" s="49" t="n"/>
      <c r="E195" s="51" t="n"/>
      <c r="F195" s="51" t="n"/>
      <c r="G195" s="52" t="n"/>
      <c r="H195" s="51">
        <f>IFERROR(E195-F195,0)</f>
        <v/>
      </c>
      <c r="I195" s="52" t="n"/>
      <c r="J195" s="49">
        <f>IF(A195="","",IF(H195&lt;=0,"Paid",IF(AND(I195&lt;TODAY(),I195&lt;&gt;""),"Overdue","Open")))</f>
        <v/>
      </c>
      <c r="K195" s="49" t="n"/>
    </row>
    <row r="196">
      <c r="A196" s="52" t="n"/>
      <c r="B196" s="49" t="n"/>
      <c r="C196" s="49" t="n"/>
      <c r="D196" s="49" t="n"/>
      <c r="E196" s="51" t="n"/>
      <c r="F196" s="51" t="n"/>
      <c r="G196" s="52" t="n"/>
      <c r="H196" s="51">
        <f>IFERROR(E196-F196,0)</f>
        <v/>
      </c>
      <c r="I196" s="52" t="n"/>
      <c r="J196" s="49">
        <f>IF(A196="","",IF(H196&lt;=0,"Paid",IF(AND(I196&lt;TODAY(),I196&lt;&gt;""),"Overdue","Open")))</f>
        <v/>
      </c>
      <c r="K196" s="49" t="n"/>
    </row>
    <row r="197">
      <c r="A197" s="52" t="n"/>
      <c r="B197" s="49" t="n"/>
      <c r="C197" s="49" t="n"/>
      <c r="D197" s="49" t="n"/>
      <c r="E197" s="51" t="n"/>
      <c r="F197" s="51" t="n"/>
      <c r="G197" s="52" t="n"/>
      <c r="H197" s="51">
        <f>IFERROR(E197-F197,0)</f>
        <v/>
      </c>
      <c r="I197" s="52" t="n"/>
      <c r="J197" s="49">
        <f>IF(A197="","",IF(H197&lt;=0,"Paid",IF(AND(I197&lt;TODAY(),I197&lt;&gt;""),"Overdue","Open")))</f>
        <v/>
      </c>
      <c r="K197" s="49" t="n"/>
    </row>
    <row r="198">
      <c r="A198" s="52" t="n"/>
      <c r="B198" s="49" t="n"/>
      <c r="C198" s="49" t="n"/>
      <c r="D198" s="49" t="n"/>
      <c r="E198" s="51" t="n"/>
      <c r="F198" s="51" t="n"/>
      <c r="G198" s="52" t="n"/>
      <c r="H198" s="51">
        <f>IFERROR(E198-F198,0)</f>
        <v/>
      </c>
      <c r="I198" s="52" t="n"/>
      <c r="J198" s="49">
        <f>IF(A198="","",IF(H198&lt;=0,"Paid",IF(AND(I198&lt;TODAY(),I198&lt;&gt;""),"Overdue","Open")))</f>
        <v/>
      </c>
      <c r="K198" s="49" t="n"/>
    </row>
    <row r="199">
      <c r="A199" s="52" t="n"/>
      <c r="B199" s="49" t="n"/>
      <c r="C199" s="49" t="n"/>
      <c r="D199" s="49" t="n"/>
      <c r="E199" s="51" t="n"/>
      <c r="F199" s="51" t="n"/>
      <c r="G199" s="52" t="n"/>
      <c r="H199" s="51">
        <f>IFERROR(E199-F199,0)</f>
        <v/>
      </c>
      <c r="I199" s="52" t="n"/>
      <c r="J199" s="49">
        <f>IF(A199="","",IF(H199&lt;=0,"Paid",IF(AND(I199&lt;TODAY(),I199&lt;&gt;""),"Overdue","Open")))</f>
        <v/>
      </c>
      <c r="K199" s="49" t="n"/>
    </row>
    <row r="200">
      <c r="A200" s="52" t="n"/>
      <c r="B200" s="49" t="n"/>
      <c r="C200" s="49" t="n"/>
      <c r="D200" s="49" t="n"/>
      <c r="E200" s="51" t="n"/>
      <c r="F200" s="51" t="n"/>
      <c r="G200" s="52" t="n"/>
      <c r="H200" s="51">
        <f>IFERROR(E200-F200,0)</f>
        <v/>
      </c>
      <c r="I200" s="52" t="n"/>
      <c r="J200" s="49">
        <f>IF(A200="","",IF(H200&lt;=0,"Paid",IF(AND(I200&lt;TODAY(),I200&lt;&gt;""),"Overdue","Open")))</f>
        <v/>
      </c>
      <c r="K200" s="49" t="n"/>
    </row>
    <row r="201">
      <c r="A201" s="52" t="n"/>
      <c r="B201" s="49" t="n"/>
      <c r="C201" s="49" t="n"/>
      <c r="D201" s="49" t="n"/>
      <c r="E201" s="51" t="n"/>
      <c r="F201" s="51" t="n"/>
      <c r="G201" s="52" t="n"/>
      <c r="H201" s="51">
        <f>IFERROR(E201-F201,0)</f>
        <v/>
      </c>
      <c r="I201" s="52" t="n"/>
      <c r="J201" s="49">
        <f>IF(A201="","",IF(H201&lt;=0,"Paid",IF(AND(I201&lt;TODAY(),I201&lt;&gt;""),"Overdue","Open")))</f>
        <v/>
      </c>
      <c r="K201" s="49" t="n"/>
    </row>
    <row r="202">
      <c r="A202" s="52" t="n"/>
      <c r="B202" s="49" t="n"/>
      <c r="C202" s="49" t="n"/>
      <c r="D202" s="49" t="n"/>
      <c r="E202" s="51" t="n"/>
      <c r="F202" s="51" t="n"/>
      <c r="G202" s="52" t="n"/>
      <c r="H202" s="51">
        <f>IFERROR(E202-F202,0)</f>
        <v/>
      </c>
      <c r="I202" s="52" t="n"/>
      <c r="J202" s="49">
        <f>IF(A202="","",IF(H202&lt;=0,"Paid",IF(AND(I202&lt;TODAY(),I202&lt;&gt;""),"Overdue","Open")))</f>
        <v/>
      </c>
      <c r="K202" s="49" t="n"/>
    </row>
    <row r="203">
      <c r="A203" s="52" t="n"/>
      <c r="B203" s="49" t="n"/>
      <c r="C203" s="49" t="n"/>
      <c r="D203" s="49" t="n"/>
      <c r="E203" s="51" t="n"/>
      <c r="F203" s="51" t="n"/>
      <c r="G203" s="52" t="n"/>
      <c r="H203" s="51">
        <f>IFERROR(E203-F203,0)</f>
        <v/>
      </c>
      <c r="I203" s="52" t="n"/>
      <c r="J203" s="49">
        <f>IF(A203="","",IF(H203&lt;=0,"Paid",IF(AND(I203&lt;TODAY(),I203&lt;&gt;""),"Overdue","Open")))</f>
        <v/>
      </c>
      <c r="K203" s="49" t="n"/>
    </row>
    <row r="204">
      <c r="A204" s="52" t="n"/>
      <c r="B204" s="49" t="n"/>
      <c r="C204" s="49" t="n"/>
      <c r="D204" s="49" t="n"/>
      <c r="E204" s="51" t="n"/>
      <c r="F204" s="51" t="n"/>
      <c r="G204" s="52" t="n"/>
      <c r="H204" s="51">
        <f>IFERROR(E204-F204,0)</f>
        <v/>
      </c>
      <c r="I204" s="52" t="n"/>
      <c r="J204" s="49">
        <f>IF(A204="","",IF(H204&lt;=0,"Paid",IF(AND(I204&lt;TODAY(),I204&lt;&gt;""),"Overdue","Open")))</f>
        <v/>
      </c>
      <c r="K204" s="49" t="n"/>
    </row>
    <row r="205">
      <c r="A205" s="52" t="n"/>
      <c r="B205" s="49" t="n"/>
      <c r="C205" s="49" t="n"/>
      <c r="D205" s="49" t="n"/>
      <c r="E205" s="51" t="n"/>
      <c r="F205" s="51" t="n"/>
      <c r="G205" s="52" t="n"/>
      <c r="H205" s="51">
        <f>IFERROR(E205-F205,0)</f>
        <v/>
      </c>
      <c r="I205" s="52" t="n"/>
      <c r="J205" s="49">
        <f>IF(A205="","",IF(H205&lt;=0,"Paid",IF(AND(I205&lt;TODAY(),I205&lt;&gt;""),"Overdue","Open")))</f>
        <v/>
      </c>
      <c r="K205" s="49" t="n"/>
    </row>
    <row r="206">
      <c r="A206" s="52" t="n"/>
      <c r="B206" s="49" t="n"/>
      <c r="C206" s="49" t="n"/>
      <c r="D206" s="49" t="n"/>
      <c r="E206" s="51" t="n"/>
      <c r="F206" s="51" t="n"/>
      <c r="G206" s="52" t="n"/>
      <c r="H206" s="51">
        <f>IFERROR(E206-F206,0)</f>
        <v/>
      </c>
      <c r="I206" s="52" t="n"/>
      <c r="J206" s="49">
        <f>IF(A206="","",IF(H206&lt;=0,"Paid",IF(AND(I206&lt;TODAY(),I206&lt;&gt;""),"Overdue","Open")))</f>
        <v/>
      </c>
      <c r="K206" s="49" t="n"/>
    </row>
    <row r="207">
      <c r="A207" s="52" t="n"/>
      <c r="B207" s="49" t="n"/>
      <c r="C207" s="49" t="n"/>
      <c r="D207" s="49" t="n"/>
      <c r="E207" s="51" t="n"/>
      <c r="F207" s="51" t="n"/>
      <c r="G207" s="52" t="n"/>
      <c r="H207" s="51">
        <f>IFERROR(E207-F207,0)</f>
        <v/>
      </c>
      <c r="I207" s="52" t="n"/>
      <c r="J207" s="49">
        <f>IF(A207="","",IF(H207&lt;=0,"Paid",IF(AND(I207&lt;TODAY(),I207&lt;&gt;""),"Overdue","Open")))</f>
        <v/>
      </c>
      <c r="K207" s="49" t="n"/>
    </row>
    <row r="208">
      <c r="A208" s="52" t="n"/>
      <c r="B208" s="49" t="n"/>
      <c r="C208" s="49" t="n"/>
      <c r="D208" s="49" t="n"/>
      <c r="E208" s="51" t="n"/>
      <c r="F208" s="51" t="n"/>
      <c r="G208" s="52" t="n"/>
      <c r="H208" s="51">
        <f>IFERROR(E208-F208,0)</f>
        <v/>
      </c>
      <c r="I208" s="52" t="n"/>
      <c r="J208" s="49">
        <f>IF(A208="","",IF(H208&lt;=0,"Paid",IF(AND(I208&lt;TODAY(),I208&lt;&gt;""),"Overdue","Open")))</f>
        <v/>
      </c>
      <c r="K208" s="49" t="n"/>
    </row>
    <row r="209">
      <c r="A209" s="52" t="n"/>
      <c r="B209" s="49" t="n"/>
      <c r="C209" s="49" t="n"/>
      <c r="D209" s="49" t="n"/>
      <c r="E209" s="51" t="n"/>
      <c r="F209" s="51" t="n"/>
      <c r="G209" s="52" t="n"/>
      <c r="H209" s="51">
        <f>IFERROR(E209-F209,0)</f>
        <v/>
      </c>
      <c r="I209" s="52" t="n"/>
      <c r="J209" s="49">
        <f>IF(A209="","",IF(H209&lt;=0,"Paid",IF(AND(I209&lt;TODAY(),I209&lt;&gt;""),"Overdue","Open")))</f>
        <v/>
      </c>
      <c r="K209" s="49" t="n"/>
    </row>
    <row r="210">
      <c r="A210" s="52" t="n"/>
      <c r="B210" s="49" t="n"/>
      <c r="C210" s="49" t="n"/>
      <c r="D210" s="49" t="n"/>
      <c r="E210" s="51" t="n"/>
      <c r="F210" s="51" t="n"/>
      <c r="G210" s="52" t="n"/>
      <c r="H210" s="51">
        <f>IFERROR(E210-F210,0)</f>
        <v/>
      </c>
      <c r="I210" s="52" t="n"/>
      <c r="J210" s="49">
        <f>IF(A210="","",IF(H210&lt;=0,"Paid",IF(AND(I210&lt;TODAY(),I210&lt;&gt;""),"Overdue","Open")))</f>
        <v/>
      </c>
      <c r="K210" s="49" t="n"/>
    </row>
    <row r="211">
      <c r="A211" s="52" t="n"/>
      <c r="B211" s="49" t="n"/>
      <c r="C211" s="49" t="n"/>
      <c r="D211" s="49" t="n"/>
      <c r="E211" s="51" t="n"/>
      <c r="F211" s="51" t="n"/>
      <c r="G211" s="52" t="n"/>
      <c r="H211" s="51">
        <f>IFERROR(E211-F211,0)</f>
        <v/>
      </c>
      <c r="I211" s="52" t="n"/>
      <c r="J211" s="49">
        <f>IF(A211="","",IF(H211&lt;=0,"Paid",IF(AND(I211&lt;TODAY(),I211&lt;&gt;""),"Overdue","Open")))</f>
        <v/>
      </c>
      <c r="K211" s="49" t="n"/>
    </row>
    <row r="212">
      <c r="A212" s="52" t="n"/>
      <c r="B212" s="49" t="n"/>
      <c r="C212" s="49" t="n"/>
      <c r="D212" s="49" t="n"/>
      <c r="E212" s="51" t="n"/>
      <c r="F212" s="51" t="n"/>
      <c r="G212" s="52" t="n"/>
      <c r="H212" s="51">
        <f>IFERROR(E212-F212,0)</f>
        <v/>
      </c>
      <c r="I212" s="52" t="n"/>
      <c r="J212" s="49">
        <f>IF(A212="","",IF(H212&lt;=0,"Paid",IF(AND(I212&lt;TODAY(),I212&lt;&gt;""),"Overdue","Open")))</f>
        <v/>
      </c>
      <c r="K212" s="49" t="n"/>
    </row>
    <row r="213">
      <c r="A213" s="52" t="n"/>
      <c r="B213" s="49" t="n"/>
      <c r="C213" s="49" t="n"/>
      <c r="D213" s="49" t="n"/>
      <c r="E213" s="51" t="n"/>
      <c r="F213" s="51" t="n"/>
      <c r="G213" s="52" t="n"/>
      <c r="H213" s="51">
        <f>IFERROR(E213-F213,0)</f>
        <v/>
      </c>
      <c r="I213" s="52" t="n"/>
      <c r="J213" s="49">
        <f>IF(A213="","",IF(H213&lt;=0,"Paid",IF(AND(I213&lt;TODAY(),I213&lt;&gt;""),"Overdue","Open")))</f>
        <v/>
      </c>
      <c r="K213" s="49" t="n"/>
    </row>
    <row r="214">
      <c r="A214" s="52" t="n"/>
      <c r="B214" s="49" t="n"/>
      <c r="C214" s="49" t="n"/>
      <c r="D214" s="49" t="n"/>
      <c r="E214" s="51" t="n"/>
      <c r="F214" s="51" t="n"/>
      <c r="G214" s="52" t="n"/>
      <c r="H214" s="51">
        <f>IFERROR(E214-F214,0)</f>
        <v/>
      </c>
      <c r="I214" s="52" t="n"/>
      <c r="J214" s="49">
        <f>IF(A214="","",IF(H214&lt;=0,"Paid",IF(AND(I214&lt;TODAY(),I214&lt;&gt;""),"Overdue","Open")))</f>
        <v/>
      </c>
      <c r="K214" s="49" t="n"/>
    </row>
    <row r="215">
      <c r="A215" s="52" t="n"/>
      <c r="B215" s="49" t="n"/>
      <c r="C215" s="49" t="n"/>
      <c r="D215" s="49" t="n"/>
      <c r="E215" s="51" t="n"/>
      <c r="F215" s="51" t="n"/>
      <c r="G215" s="52" t="n"/>
      <c r="H215" s="51">
        <f>IFERROR(E215-F215,0)</f>
        <v/>
      </c>
      <c r="I215" s="52" t="n"/>
      <c r="J215" s="49">
        <f>IF(A215="","",IF(H215&lt;=0,"Paid",IF(AND(I215&lt;TODAY(),I215&lt;&gt;""),"Overdue","Open")))</f>
        <v/>
      </c>
      <c r="K215" s="49" t="n"/>
    </row>
    <row r="216">
      <c r="A216" s="52" t="n"/>
      <c r="B216" s="49" t="n"/>
      <c r="C216" s="49" t="n"/>
      <c r="D216" s="49" t="n"/>
      <c r="E216" s="51" t="n"/>
      <c r="F216" s="51" t="n"/>
      <c r="G216" s="52" t="n"/>
      <c r="H216" s="51">
        <f>IFERROR(E216-F216,0)</f>
        <v/>
      </c>
      <c r="I216" s="52" t="n"/>
      <c r="J216" s="49">
        <f>IF(A216="","",IF(H216&lt;=0,"Paid",IF(AND(I216&lt;TODAY(),I216&lt;&gt;""),"Overdue","Open")))</f>
        <v/>
      </c>
      <c r="K216" s="49" t="n"/>
    </row>
    <row r="217">
      <c r="A217" s="52" t="n"/>
      <c r="B217" s="49" t="n"/>
      <c r="C217" s="49" t="n"/>
      <c r="D217" s="49" t="n"/>
      <c r="E217" s="51" t="n"/>
      <c r="F217" s="51" t="n"/>
      <c r="G217" s="52" t="n"/>
      <c r="H217" s="51">
        <f>IFERROR(E217-F217,0)</f>
        <v/>
      </c>
      <c r="I217" s="52" t="n"/>
      <c r="J217" s="49">
        <f>IF(A217="","",IF(H217&lt;=0,"Paid",IF(AND(I217&lt;TODAY(),I217&lt;&gt;""),"Overdue","Open")))</f>
        <v/>
      </c>
      <c r="K217" s="49" t="n"/>
    </row>
    <row r="218">
      <c r="A218" s="52" t="n"/>
      <c r="B218" s="49" t="n"/>
      <c r="C218" s="49" t="n"/>
      <c r="D218" s="49" t="n"/>
      <c r="E218" s="51" t="n"/>
      <c r="F218" s="51" t="n"/>
      <c r="G218" s="52" t="n"/>
      <c r="H218" s="51">
        <f>IFERROR(E218-F218,0)</f>
        <v/>
      </c>
      <c r="I218" s="52" t="n"/>
      <c r="J218" s="49">
        <f>IF(A218="","",IF(H218&lt;=0,"Paid",IF(AND(I218&lt;TODAY(),I218&lt;&gt;""),"Overdue","Open")))</f>
        <v/>
      </c>
      <c r="K218" s="49" t="n"/>
    </row>
    <row r="219">
      <c r="A219" s="52" t="n"/>
      <c r="B219" s="49" t="n"/>
      <c r="C219" s="49" t="n"/>
      <c r="D219" s="49" t="n"/>
      <c r="E219" s="51" t="n"/>
      <c r="F219" s="51" t="n"/>
      <c r="G219" s="52" t="n"/>
      <c r="H219" s="51">
        <f>IFERROR(E219-F219,0)</f>
        <v/>
      </c>
      <c r="I219" s="52" t="n"/>
      <c r="J219" s="49">
        <f>IF(A219="","",IF(H219&lt;=0,"Paid",IF(AND(I219&lt;TODAY(),I219&lt;&gt;""),"Overdue","Open")))</f>
        <v/>
      </c>
      <c r="K219" s="49" t="n"/>
    </row>
    <row r="220">
      <c r="A220" s="52" t="n"/>
      <c r="B220" s="49" t="n"/>
      <c r="C220" s="49" t="n"/>
      <c r="D220" s="49" t="n"/>
      <c r="E220" s="51" t="n"/>
      <c r="F220" s="51" t="n"/>
      <c r="G220" s="52" t="n"/>
      <c r="H220" s="51">
        <f>IFERROR(E220-F220,0)</f>
        <v/>
      </c>
      <c r="I220" s="52" t="n"/>
      <c r="J220" s="49">
        <f>IF(A220="","",IF(H220&lt;=0,"Paid",IF(AND(I220&lt;TODAY(),I220&lt;&gt;""),"Overdue","Open")))</f>
        <v/>
      </c>
      <c r="K220" s="49" t="n"/>
    </row>
    <row r="221">
      <c r="A221" s="52" t="n"/>
      <c r="B221" s="49" t="n"/>
      <c r="C221" s="49" t="n"/>
      <c r="D221" s="49" t="n"/>
      <c r="E221" s="51" t="n"/>
      <c r="F221" s="51" t="n"/>
      <c r="G221" s="52" t="n"/>
      <c r="H221" s="51">
        <f>IFERROR(E221-F221,0)</f>
        <v/>
      </c>
      <c r="I221" s="52" t="n"/>
      <c r="J221" s="49">
        <f>IF(A221="","",IF(H221&lt;=0,"Paid",IF(AND(I221&lt;TODAY(),I221&lt;&gt;""),"Overdue","Open")))</f>
        <v/>
      </c>
      <c r="K221" s="49" t="n"/>
    </row>
    <row r="222">
      <c r="A222" s="52" t="n"/>
      <c r="B222" s="49" t="n"/>
      <c r="C222" s="49" t="n"/>
      <c r="D222" s="49" t="n"/>
      <c r="E222" s="51" t="n"/>
      <c r="F222" s="51" t="n"/>
      <c r="G222" s="52" t="n"/>
      <c r="H222" s="51">
        <f>IFERROR(E222-F222,0)</f>
        <v/>
      </c>
      <c r="I222" s="52" t="n"/>
      <c r="J222" s="49">
        <f>IF(A222="","",IF(H222&lt;=0,"Paid",IF(AND(I222&lt;TODAY(),I222&lt;&gt;""),"Overdue","Open")))</f>
        <v/>
      </c>
      <c r="K222" s="49" t="n"/>
    </row>
    <row r="223">
      <c r="A223" s="52" t="n"/>
      <c r="B223" s="49" t="n"/>
      <c r="C223" s="49" t="n"/>
      <c r="D223" s="49" t="n"/>
      <c r="E223" s="51" t="n"/>
      <c r="F223" s="51" t="n"/>
      <c r="G223" s="52" t="n"/>
      <c r="H223" s="51">
        <f>IFERROR(E223-F223,0)</f>
        <v/>
      </c>
      <c r="I223" s="52" t="n"/>
      <c r="J223" s="49">
        <f>IF(A223="","",IF(H223&lt;=0,"Paid",IF(AND(I223&lt;TODAY(),I223&lt;&gt;""),"Overdue","Open")))</f>
        <v/>
      </c>
      <c r="K223" s="49" t="n"/>
    </row>
    <row r="224">
      <c r="A224" s="52" t="n"/>
      <c r="B224" s="49" t="n"/>
      <c r="C224" s="49" t="n"/>
      <c r="D224" s="49" t="n"/>
      <c r="E224" s="51" t="n"/>
      <c r="F224" s="51" t="n"/>
      <c r="G224" s="52" t="n"/>
      <c r="H224" s="51">
        <f>IFERROR(E224-F224,0)</f>
        <v/>
      </c>
      <c r="I224" s="52" t="n"/>
      <c r="J224" s="49">
        <f>IF(A224="","",IF(H224&lt;=0,"Paid",IF(AND(I224&lt;TODAY(),I224&lt;&gt;""),"Overdue","Open")))</f>
        <v/>
      </c>
      <c r="K224" s="49" t="n"/>
    </row>
    <row r="225">
      <c r="A225" s="52" t="n"/>
      <c r="B225" s="49" t="n"/>
      <c r="C225" s="49" t="n"/>
      <c r="D225" s="49" t="n"/>
      <c r="E225" s="51" t="n"/>
      <c r="F225" s="51" t="n"/>
      <c r="G225" s="52" t="n"/>
      <c r="H225" s="51">
        <f>IFERROR(E225-F225,0)</f>
        <v/>
      </c>
      <c r="I225" s="52" t="n"/>
      <c r="J225" s="49">
        <f>IF(A225="","",IF(H225&lt;=0,"Paid",IF(AND(I225&lt;TODAY(),I225&lt;&gt;""),"Overdue","Open")))</f>
        <v/>
      </c>
      <c r="K225" s="49" t="n"/>
    </row>
    <row r="226">
      <c r="A226" s="52" t="n"/>
      <c r="B226" s="49" t="n"/>
      <c r="C226" s="49" t="n"/>
      <c r="D226" s="49" t="n"/>
      <c r="E226" s="51" t="n"/>
      <c r="F226" s="51" t="n"/>
      <c r="G226" s="52" t="n"/>
      <c r="H226" s="51">
        <f>IFERROR(E226-F226,0)</f>
        <v/>
      </c>
      <c r="I226" s="52" t="n"/>
      <c r="J226" s="49">
        <f>IF(A226="","",IF(H226&lt;=0,"Paid",IF(AND(I226&lt;TODAY(),I226&lt;&gt;""),"Overdue","Open")))</f>
        <v/>
      </c>
      <c r="K226" s="49" t="n"/>
    </row>
    <row r="227">
      <c r="A227" s="52" t="n"/>
      <c r="B227" s="49" t="n"/>
      <c r="C227" s="49" t="n"/>
      <c r="D227" s="49" t="n"/>
      <c r="E227" s="51" t="n"/>
      <c r="F227" s="51" t="n"/>
      <c r="G227" s="52" t="n"/>
      <c r="H227" s="51">
        <f>IFERROR(E227-F227,0)</f>
        <v/>
      </c>
      <c r="I227" s="52" t="n"/>
      <c r="J227" s="49">
        <f>IF(A227="","",IF(H227&lt;=0,"Paid",IF(AND(I227&lt;TODAY(),I227&lt;&gt;""),"Overdue","Open")))</f>
        <v/>
      </c>
      <c r="K227" s="49" t="n"/>
    </row>
    <row r="228">
      <c r="A228" s="52" t="n"/>
      <c r="B228" s="49" t="n"/>
      <c r="C228" s="49" t="n"/>
      <c r="D228" s="49" t="n"/>
      <c r="E228" s="51" t="n"/>
      <c r="F228" s="51" t="n"/>
      <c r="G228" s="52" t="n"/>
      <c r="H228" s="51">
        <f>IFERROR(E228-F228,0)</f>
        <v/>
      </c>
      <c r="I228" s="52" t="n"/>
      <c r="J228" s="49">
        <f>IF(A228="","",IF(H228&lt;=0,"Paid",IF(AND(I228&lt;TODAY(),I228&lt;&gt;""),"Overdue","Open")))</f>
        <v/>
      </c>
      <c r="K228" s="49" t="n"/>
    </row>
    <row r="229">
      <c r="A229" s="52" t="n"/>
      <c r="B229" s="49" t="n"/>
      <c r="C229" s="49" t="n"/>
      <c r="D229" s="49" t="n"/>
      <c r="E229" s="51" t="n"/>
      <c r="F229" s="51" t="n"/>
      <c r="G229" s="52" t="n"/>
      <c r="H229" s="51">
        <f>IFERROR(E229-F229,0)</f>
        <v/>
      </c>
      <c r="I229" s="52" t="n"/>
      <c r="J229" s="49">
        <f>IF(A229="","",IF(H229&lt;=0,"Paid",IF(AND(I229&lt;TODAY(),I229&lt;&gt;""),"Overdue","Open")))</f>
        <v/>
      </c>
      <c r="K229" s="49" t="n"/>
    </row>
    <row r="230">
      <c r="A230" s="52" t="n"/>
      <c r="B230" s="49" t="n"/>
      <c r="C230" s="49" t="n"/>
      <c r="D230" s="49" t="n"/>
      <c r="E230" s="51" t="n"/>
      <c r="F230" s="51" t="n"/>
      <c r="G230" s="52" t="n"/>
      <c r="H230" s="51">
        <f>IFERROR(E230-F230,0)</f>
        <v/>
      </c>
      <c r="I230" s="52" t="n"/>
      <c r="J230" s="49">
        <f>IF(A230="","",IF(H230&lt;=0,"Paid",IF(AND(I230&lt;TODAY(),I230&lt;&gt;""),"Overdue","Open")))</f>
        <v/>
      </c>
      <c r="K230" s="49" t="n"/>
    </row>
    <row r="231">
      <c r="A231" s="52" t="n"/>
      <c r="B231" s="49" t="n"/>
      <c r="C231" s="49" t="n"/>
      <c r="D231" s="49" t="n"/>
      <c r="E231" s="51" t="n"/>
      <c r="F231" s="51" t="n"/>
      <c r="G231" s="52" t="n"/>
      <c r="H231" s="51">
        <f>IFERROR(E231-F231,0)</f>
        <v/>
      </c>
      <c r="I231" s="52" t="n"/>
      <c r="J231" s="49">
        <f>IF(A231="","",IF(H231&lt;=0,"Paid",IF(AND(I231&lt;TODAY(),I231&lt;&gt;""),"Overdue","Open")))</f>
        <v/>
      </c>
      <c r="K231" s="49" t="n"/>
    </row>
    <row r="232">
      <c r="A232" s="52" t="n"/>
      <c r="B232" s="49" t="n"/>
      <c r="C232" s="49" t="n"/>
      <c r="D232" s="49" t="n"/>
      <c r="E232" s="51" t="n"/>
      <c r="F232" s="51" t="n"/>
      <c r="G232" s="52" t="n"/>
      <c r="H232" s="51">
        <f>IFERROR(E232-F232,0)</f>
        <v/>
      </c>
      <c r="I232" s="52" t="n"/>
      <c r="J232" s="49">
        <f>IF(A232="","",IF(H232&lt;=0,"Paid",IF(AND(I232&lt;TODAY(),I232&lt;&gt;""),"Overdue","Open")))</f>
        <v/>
      </c>
      <c r="K232" s="49" t="n"/>
    </row>
    <row r="233">
      <c r="A233" s="52" t="n"/>
      <c r="B233" s="49" t="n"/>
      <c r="C233" s="49" t="n"/>
      <c r="D233" s="49" t="n"/>
      <c r="E233" s="51" t="n"/>
      <c r="F233" s="51" t="n"/>
      <c r="G233" s="52" t="n"/>
      <c r="H233" s="51">
        <f>IFERROR(E233-F233,0)</f>
        <v/>
      </c>
      <c r="I233" s="52" t="n"/>
      <c r="J233" s="49">
        <f>IF(A233="","",IF(H233&lt;=0,"Paid",IF(AND(I233&lt;TODAY(),I233&lt;&gt;""),"Overdue","Open")))</f>
        <v/>
      </c>
      <c r="K233" s="49" t="n"/>
    </row>
    <row r="234">
      <c r="A234" s="52" t="n"/>
      <c r="B234" s="49" t="n"/>
      <c r="C234" s="49" t="n"/>
      <c r="D234" s="49" t="n"/>
      <c r="E234" s="51" t="n"/>
      <c r="F234" s="51" t="n"/>
      <c r="G234" s="52" t="n"/>
      <c r="H234" s="51">
        <f>IFERROR(E234-F234,0)</f>
        <v/>
      </c>
      <c r="I234" s="52" t="n"/>
      <c r="J234" s="49">
        <f>IF(A234="","",IF(H234&lt;=0,"Paid",IF(AND(I234&lt;TODAY(),I234&lt;&gt;""),"Overdue","Open")))</f>
        <v/>
      </c>
      <c r="K234" s="49" t="n"/>
    </row>
    <row r="235">
      <c r="A235" s="52" t="n"/>
      <c r="B235" s="49" t="n"/>
      <c r="C235" s="49" t="n"/>
      <c r="D235" s="49" t="n"/>
      <c r="E235" s="51" t="n"/>
      <c r="F235" s="51" t="n"/>
      <c r="G235" s="52" t="n"/>
      <c r="H235" s="51">
        <f>IFERROR(E235-F235,0)</f>
        <v/>
      </c>
      <c r="I235" s="52" t="n"/>
      <c r="J235" s="49">
        <f>IF(A235="","",IF(H235&lt;=0,"Paid",IF(AND(I235&lt;TODAY(),I235&lt;&gt;""),"Overdue","Open")))</f>
        <v/>
      </c>
      <c r="K235" s="49" t="n"/>
    </row>
    <row r="236">
      <c r="A236" s="52" t="n"/>
      <c r="B236" s="49" t="n"/>
      <c r="C236" s="49" t="n"/>
      <c r="D236" s="49" t="n"/>
      <c r="E236" s="51" t="n"/>
      <c r="F236" s="51" t="n"/>
      <c r="G236" s="52" t="n"/>
      <c r="H236" s="51">
        <f>IFERROR(E236-F236,0)</f>
        <v/>
      </c>
      <c r="I236" s="52" t="n"/>
      <c r="J236" s="49">
        <f>IF(A236="","",IF(H236&lt;=0,"Paid",IF(AND(I236&lt;TODAY(),I236&lt;&gt;""),"Overdue","Open")))</f>
        <v/>
      </c>
      <c r="K236" s="49" t="n"/>
    </row>
    <row r="237">
      <c r="A237" s="52" t="n"/>
      <c r="B237" s="49" t="n"/>
      <c r="C237" s="49" t="n"/>
      <c r="D237" s="49" t="n"/>
      <c r="E237" s="51" t="n"/>
      <c r="F237" s="51" t="n"/>
      <c r="G237" s="52" t="n"/>
      <c r="H237" s="51">
        <f>IFERROR(E237-F237,0)</f>
        <v/>
      </c>
      <c r="I237" s="52" t="n"/>
      <c r="J237" s="49">
        <f>IF(A237="","",IF(H237&lt;=0,"Paid",IF(AND(I237&lt;TODAY(),I237&lt;&gt;""),"Overdue","Open")))</f>
        <v/>
      </c>
      <c r="K237" s="49" t="n"/>
    </row>
    <row r="238">
      <c r="A238" s="52" t="n"/>
      <c r="B238" s="49" t="n"/>
      <c r="C238" s="49" t="n"/>
      <c r="D238" s="49" t="n"/>
      <c r="E238" s="51" t="n"/>
      <c r="F238" s="51" t="n"/>
      <c r="G238" s="52" t="n"/>
      <c r="H238" s="51">
        <f>IFERROR(E238-F238,0)</f>
        <v/>
      </c>
      <c r="I238" s="52" t="n"/>
      <c r="J238" s="49">
        <f>IF(A238="","",IF(H238&lt;=0,"Paid",IF(AND(I238&lt;TODAY(),I238&lt;&gt;""),"Overdue","Open")))</f>
        <v/>
      </c>
      <c r="K238" s="49" t="n"/>
    </row>
    <row r="239">
      <c r="A239" s="52" t="n"/>
      <c r="B239" s="49" t="n"/>
      <c r="C239" s="49" t="n"/>
      <c r="D239" s="49" t="n"/>
      <c r="E239" s="51" t="n"/>
      <c r="F239" s="51" t="n"/>
      <c r="G239" s="52" t="n"/>
      <c r="H239" s="51">
        <f>IFERROR(E239-F239,0)</f>
        <v/>
      </c>
      <c r="I239" s="52" t="n"/>
      <c r="J239" s="49">
        <f>IF(A239="","",IF(H239&lt;=0,"Paid",IF(AND(I239&lt;TODAY(),I239&lt;&gt;""),"Overdue","Open")))</f>
        <v/>
      </c>
      <c r="K239" s="49" t="n"/>
    </row>
    <row r="240">
      <c r="A240" s="52" t="n"/>
      <c r="B240" s="49" t="n"/>
      <c r="C240" s="49" t="n"/>
      <c r="D240" s="49" t="n"/>
      <c r="E240" s="51" t="n"/>
      <c r="F240" s="51" t="n"/>
      <c r="G240" s="52" t="n"/>
      <c r="H240" s="51">
        <f>IFERROR(E240-F240,0)</f>
        <v/>
      </c>
      <c r="I240" s="52" t="n"/>
      <c r="J240" s="49">
        <f>IF(A240="","",IF(H240&lt;=0,"Paid",IF(AND(I240&lt;TODAY(),I240&lt;&gt;""),"Overdue","Open")))</f>
        <v/>
      </c>
      <c r="K240" s="49" t="n"/>
    </row>
    <row r="241">
      <c r="A241" s="52" t="n"/>
      <c r="B241" s="49" t="n"/>
      <c r="C241" s="49" t="n"/>
      <c r="D241" s="49" t="n"/>
      <c r="E241" s="51" t="n"/>
      <c r="F241" s="51" t="n"/>
      <c r="G241" s="52" t="n"/>
      <c r="H241" s="51">
        <f>IFERROR(E241-F241,0)</f>
        <v/>
      </c>
      <c r="I241" s="52" t="n"/>
      <c r="J241" s="49">
        <f>IF(A241="","",IF(H241&lt;=0,"Paid",IF(AND(I241&lt;TODAY(),I241&lt;&gt;""),"Overdue","Open")))</f>
        <v/>
      </c>
      <c r="K241" s="49" t="n"/>
    </row>
    <row r="242">
      <c r="A242" s="52" t="n"/>
      <c r="B242" s="49" t="n"/>
      <c r="C242" s="49" t="n"/>
      <c r="D242" s="49" t="n"/>
      <c r="E242" s="51" t="n"/>
      <c r="F242" s="51" t="n"/>
      <c r="G242" s="52" t="n"/>
      <c r="H242" s="51">
        <f>IFERROR(E242-F242,0)</f>
        <v/>
      </c>
      <c r="I242" s="52" t="n"/>
      <c r="J242" s="49">
        <f>IF(A242="","",IF(H242&lt;=0,"Paid",IF(AND(I242&lt;TODAY(),I242&lt;&gt;""),"Overdue","Open")))</f>
        <v/>
      </c>
      <c r="K242" s="49" t="n"/>
    </row>
    <row r="243">
      <c r="A243" s="52" t="n"/>
      <c r="B243" s="49" t="n"/>
      <c r="C243" s="49" t="n"/>
      <c r="D243" s="49" t="n"/>
      <c r="E243" s="51" t="n"/>
      <c r="F243" s="51" t="n"/>
      <c r="G243" s="52" t="n"/>
      <c r="H243" s="51">
        <f>IFERROR(E243-F243,0)</f>
        <v/>
      </c>
      <c r="I243" s="52" t="n"/>
      <c r="J243" s="49">
        <f>IF(A243="","",IF(H243&lt;=0,"Paid",IF(AND(I243&lt;TODAY(),I243&lt;&gt;""),"Overdue","Open")))</f>
        <v/>
      </c>
      <c r="K243" s="49" t="n"/>
    </row>
    <row r="244">
      <c r="A244" s="52" t="n"/>
      <c r="B244" s="49" t="n"/>
      <c r="C244" s="49" t="n"/>
      <c r="D244" s="49" t="n"/>
      <c r="E244" s="51" t="n"/>
      <c r="F244" s="51" t="n"/>
      <c r="G244" s="52" t="n"/>
      <c r="H244" s="51">
        <f>IFERROR(E244-F244,0)</f>
        <v/>
      </c>
      <c r="I244" s="52" t="n"/>
      <c r="J244" s="49">
        <f>IF(A244="","",IF(H244&lt;=0,"Paid",IF(AND(I244&lt;TODAY(),I244&lt;&gt;""),"Overdue","Open")))</f>
        <v/>
      </c>
      <c r="K244" s="49" t="n"/>
    </row>
    <row r="245">
      <c r="A245" s="52" t="n"/>
      <c r="B245" s="49" t="n"/>
      <c r="C245" s="49" t="n"/>
      <c r="D245" s="49" t="n"/>
      <c r="E245" s="51" t="n"/>
      <c r="F245" s="51" t="n"/>
      <c r="G245" s="52" t="n"/>
      <c r="H245" s="51">
        <f>IFERROR(E245-F245,0)</f>
        <v/>
      </c>
      <c r="I245" s="52" t="n"/>
      <c r="J245" s="49">
        <f>IF(A245="","",IF(H245&lt;=0,"Paid",IF(AND(I245&lt;TODAY(),I245&lt;&gt;""),"Overdue","Open")))</f>
        <v/>
      </c>
      <c r="K245" s="49" t="n"/>
    </row>
    <row r="246">
      <c r="A246" s="52" t="n"/>
      <c r="B246" s="49" t="n"/>
      <c r="C246" s="49" t="n"/>
      <c r="D246" s="49" t="n"/>
      <c r="E246" s="51" t="n"/>
      <c r="F246" s="51" t="n"/>
      <c r="G246" s="52" t="n"/>
      <c r="H246" s="51">
        <f>IFERROR(E246-F246,0)</f>
        <v/>
      </c>
      <c r="I246" s="52" t="n"/>
      <c r="J246" s="49">
        <f>IF(A246="","",IF(H246&lt;=0,"Paid",IF(AND(I246&lt;TODAY(),I246&lt;&gt;""),"Overdue","Open")))</f>
        <v/>
      </c>
      <c r="K246" s="49" t="n"/>
    </row>
    <row r="247">
      <c r="A247" s="52" t="n"/>
      <c r="B247" s="49" t="n"/>
      <c r="C247" s="49" t="n"/>
      <c r="D247" s="49" t="n"/>
      <c r="E247" s="51" t="n"/>
      <c r="F247" s="51" t="n"/>
      <c r="G247" s="52" t="n"/>
      <c r="H247" s="51">
        <f>IFERROR(E247-F247,0)</f>
        <v/>
      </c>
      <c r="I247" s="52" t="n"/>
      <c r="J247" s="49">
        <f>IF(A247="","",IF(H247&lt;=0,"Paid",IF(AND(I247&lt;TODAY(),I247&lt;&gt;""),"Overdue","Open")))</f>
        <v/>
      </c>
      <c r="K247" s="49" t="n"/>
    </row>
    <row r="248">
      <c r="A248" s="52" t="n"/>
      <c r="B248" s="49" t="n"/>
      <c r="C248" s="49" t="n"/>
      <c r="D248" s="49" t="n"/>
      <c r="E248" s="51" t="n"/>
      <c r="F248" s="51" t="n"/>
      <c r="G248" s="52" t="n"/>
      <c r="H248" s="51">
        <f>IFERROR(E248-F248,0)</f>
        <v/>
      </c>
      <c r="I248" s="52" t="n"/>
      <c r="J248" s="49">
        <f>IF(A248="","",IF(H248&lt;=0,"Paid",IF(AND(I248&lt;TODAY(),I248&lt;&gt;""),"Overdue","Open")))</f>
        <v/>
      </c>
      <c r="K248" s="49" t="n"/>
    </row>
    <row r="249">
      <c r="A249" s="52" t="n"/>
      <c r="B249" s="49" t="n"/>
      <c r="C249" s="49" t="n"/>
      <c r="D249" s="49" t="n"/>
      <c r="E249" s="51" t="n"/>
      <c r="F249" s="51" t="n"/>
      <c r="G249" s="52" t="n"/>
      <c r="H249" s="51">
        <f>IFERROR(E249-F249,0)</f>
        <v/>
      </c>
      <c r="I249" s="52" t="n"/>
      <c r="J249" s="49">
        <f>IF(A249="","",IF(H249&lt;=0,"Paid",IF(AND(I249&lt;TODAY(),I249&lt;&gt;""),"Overdue","Open")))</f>
        <v/>
      </c>
      <c r="K249" s="49" t="n"/>
    </row>
    <row r="250">
      <c r="A250" s="52" t="n"/>
      <c r="B250" s="49" t="n"/>
      <c r="C250" s="49" t="n"/>
      <c r="D250" s="49" t="n"/>
      <c r="E250" s="51" t="n"/>
      <c r="F250" s="51" t="n"/>
      <c r="G250" s="52" t="n"/>
      <c r="H250" s="51">
        <f>IFERROR(E250-F250,0)</f>
        <v/>
      </c>
      <c r="I250" s="52" t="n"/>
      <c r="J250" s="49">
        <f>IF(A250="","",IF(H250&lt;=0,"Paid",IF(AND(I250&lt;TODAY(),I250&lt;&gt;""),"Overdue","Open")))</f>
        <v/>
      </c>
      <c r="K250" s="49" t="n"/>
    </row>
    <row r="251">
      <c r="A251" s="52" t="n"/>
      <c r="B251" s="49" t="n"/>
      <c r="C251" s="49" t="n"/>
      <c r="D251" s="49" t="n"/>
      <c r="E251" s="51" t="n"/>
      <c r="F251" s="51" t="n"/>
      <c r="G251" s="52" t="n"/>
      <c r="H251" s="51">
        <f>IFERROR(E251-F251,0)</f>
        <v/>
      </c>
      <c r="I251" s="52" t="n"/>
      <c r="J251" s="49">
        <f>IF(A251="","",IF(H251&lt;=0,"Paid",IF(AND(I251&lt;TODAY(),I251&lt;&gt;""),"Overdue","Open")))</f>
        <v/>
      </c>
      <c r="K251" s="49" t="n"/>
    </row>
    <row r="252">
      <c r="A252" s="52" t="n"/>
      <c r="B252" s="49" t="n"/>
      <c r="C252" s="49" t="n"/>
      <c r="D252" s="49" t="n"/>
      <c r="E252" s="51" t="n"/>
      <c r="F252" s="51" t="n"/>
      <c r="G252" s="52" t="n"/>
      <c r="H252" s="51">
        <f>IFERROR(E252-F252,0)</f>
        <v/>
      </c>
      <c r="I252" s="52" t="n"/>
      <c r="J252" s="49">
        <f>IF(A252="","",IF(H252&lt;=0,"Paid",IF(AND(I252&lt;TODAY(),I252&lt;&gt;""),"Overdue","Open")))</f>
        <v/>
      </c>
      <c r="K252" s="49" t="n"/>
    </row>
    <row r="253">
      <c r="A253" s="52" t="n"/>
      <c r="B253" s="49" t="n"/>
      <c r="C253" s="49" t="n"/>
      <c r="D253" s="49" t="n"/>
      <c r="E253" s="51" t="n"/>
      <c r="F253" s="51" t="n"/>
      <c r="G253" s="52" t="n"/>
      <c r="H253" s="51">
        <f>IFERROR(E253-F253,0)</f>
        <v/>
      </c>
      <c r="I253" s="52" t="n"/>
      <c r="J253" s="49">
        <f>IF(A253="","",IF(H253&lt;=0,"Paid",IF(AND(I253&lt;TODAY(),I253&lt;&gt;""),"Overdue","Open")))</f>
        <v/>
      </c>
      <c r="K253" s="49" t="n"/>
    </row>
    <row r="254">
      <c r="A254" s="52" t="n"/>
      <c r="B254" s="49" t="n"/>
      <c r="C254" s="49" t="n"/>
      <c r="D254" s="49" t="n"/>
      <c r="E254" s="51" t="n"/>
      <c r="F254" s="51" t="n"/>
      <c r="G254" s="52" t="n"/>
      <c r="H254" s="51">
        <f>IFERROR(E254-F254,0)</f>
        <v/>
      </c>
      <c r="I254" s="52" t="n"/>
      <c r="J254" s="49">
        <f>IF(A254="","",IF(H254&lt;=0,"Paid",IF(AND(I254&lt;TODAY(),I254&lt;&gt;""),"Overdue","Open")))</f>
        <v/>
      </c>
      <c r="K254" s="49" t="n"/>
    </row>
    <row r="255">
      <c r="A255" s="52" t="n"/>
      <c r="B255" s="49" t="n"/>
      <c r="C255" s="49" t="n"/>
      <c r="D255" s="49" t="n"/>
      <c r="E255" s="51" t="n"/>
      <c r="F255" s="51" t="n"/>
      <c r="G255" s="52" t="n"/>
      <c r="H255" s="51">
        <f>IFERROR(E255-F255,0)</f>
        <v/>
      </c>
      <c r="I255" s="52" t="n"/>
      <c r="J255" s="49">
        <f>IF(A255="","",IF(H255&lt;=0,"Paid",IF(AND(I255&lt;TODAY(),I255&lt;&gt;""),"Overdue","Open")))</f>
        <v/>
      </c>
      <c r="K255" s="49" t="n"/>
    </row>
    <row r="256">
      <c r="A256" s="52" t="n"/>
      <c r="B256" s="49" t="n"/>
      <c r="C256" s="49" t="n"/>
      <c r="D256" s="49" t="n"/>
      <c r="E256" s="51" t="n"/>
      <c r="F256" s="51" t="n"/>
      <c r="G256" s="52" t="n"/>
      <c r="H256" s="51">
        <f>IFERROR(E256-F256,0)</f>
        <v/>
      </c>
      <c r="I256" s="52" t="n"/>
      <c r="J256" s="49">
        <f>IF(A256="","",IF(H256&lt;=0,"Paid",IF(AND(I256&lt;TODAY(),I256&lt;&gt;""),"Overdue","Open")))</f>
        <v/>
      </c>
      <c r="K256" s="49" t="n"/>
    </row>
    <row r="257">
      <c r="A257" s="52" t="n"/>
      <c r="B257" s="49" t="n"/>
      <c r="C257" s="49" t="n"/>
      <c r="D257" s="49" t="n"/>
      <c r="E257" s="51" t="n"/>
      <c r="F257" s="51" t="n"/>
      <c r="G257" s="52" t="n"/>
      <c r="H257" s="51">
        <f>IFERROR(E257-F257,0)</f>
        <v/>
      </c>
      <c r="I257" s="52" t="n"/>
      <c r="J257" s="49">
        <f>IF(A257="","",IF(H257&lt;=0,"Paid",IF(AND(I257&lt;TODAY(),I257&lt;&gt;""),"Overdue","Open")))</f>
        <v/>
      </c>
      <c r="K257" s="49" t="n"/>
    </row>
    <row r="258">
      <c r="A258" s="52" t="n"/>
      <c r="B258" s="49" t="n"/>
      <c r="C258" s="49" t="n"/>
      <c r="D258" s="49" t="n"/>
      <c r="E258" s="51" t="n"/>
      <c r="F258" s="51" t="n"/>
      <c r="G258" s="52" t="n"/>
      <c r="H258" s="51">
        <f>IFERROR(E258-F258,0)</f>
        <v/>
      </c>
      <c r="I258" s="52" t="n"/>
      <c r="J258" s="49">
        <f>IF(A258="","",IF(H258&lt;=0,"Paid",IF(AND(I258&lt;TODAY(),I258&lt;&gt;""),"Overdue","Open")))</f>
        <v/>
      </c>
      <c r="K258" s="49" t="n"/>
    </row>
    <row r="259">
      <c r="A259" s="52" t="n"/>
      <c r="B259" s="49" t="n"/>
      <c r="C259" s="49" t="n"/>
      <c r="D259" s="49" t="n"/>
      <c r="E259" s="51" t="n"/>
      <c r="F259" s="51" t="n"/>
      <c r="G259" s="52" t="n"/>
      <c r="H259" s="51">
        <f>IFERROR(E259-F259,0)</f>
        <v/>
      </c>
      <c r="I259" s="52" t="n"/>
      <c r="J259" s="49">
        <f>IF(A259="","",IF(H259&lt;=0,"Paid",IF(AND(I259&lt;TODAY(),I259&lt;&gt;""),"Overdue","Open")))</f>
        <v/>
      </c>
      <c r="K259" s="49" t="n"/>
    </row>
    <row r="260">
      <c r="A260" s="52" t="n"/>
      <c r="B260" s="49" t="n"/>
      <c r="C260" s="49" t="n"/>
      <c r="D260" s="49" t="n"/>
      <c r="E260" s="51" t="n"/>
      <c r="F260" s="51" t="n"/>
      <c r="G260" s="52" t="n"/>
      <c r="H260" s="51">
        <f>IFERROR(E260-F260,0)</f>
        <v/>
      </c>
      <c r="I260" s="52" t="n"/>
      <c r="J260" s="49">
        <f>IF(A260="","",IF(H260&lt;=0,"Paid",IF(AND(I260&lt;TODAY(),I260&lt;&gt;""),"Overdue","Open")))</f>
        <v/>
      </c>
      <c r="K260" s="49" t="n"/>
    </row>
    <row r="261">
      <c r="A261" s="52" t="n"/>
      <c r="B261" s="49" t="n"/>
      <c r="C261" s="49" t="n"/>
      <c r="D261" s="49" t="n"/>
      <c r="E261" s="51" t="n"/>
      <c r="F261" s="51" t="n"/>
      <c r="G261" s="52" t="n"/>
      <c r="H261" s="51">
        <f>IFERROR(E261-F261,0)</f>
        <v/>
      </c>
      <c r="I261" s="52" t="n"/>
      <c r="J261" s="49">
        <f>IF(A261="","",IF(H261&lt;=0,"Paid",IF(AND(I261&lt;TODAY(),I261&lt;&gt;""),"Overdue","Open")))</f>
        <v/>
      </c>
      <c r="K261" s="49" t="n"/>
    </row>
    <row r="262">
      <c r="A262" s="52" t="n"/>
      <c r="B262" s="49" t="n"/>
      <c r="C262" s="49" t="n"/>
      <c r="D262" s="49" t="n"/>
      <c r="E262" s="51" t="n"/>
      <c r="F262" s="51" t="n"/>
      <c r="G262" s="52" t="n"/>
      <c r="H262" s="51">
        <f>IFERROR(E262-F262,0)</f>
        <v/>
      </c>
      <c r="I262" s="52" t="n"/>
      <c r="J262" s="49">
        <f>IF(A262="","",IF(H262&lt;=0,"Paid",IF(AND(I262&lt;TODAY(),I262&lt;&gt;""),"Overdue","Open")))</f>
        <v/>
      </c>
      <c r="K262" s="49" t="n"/>
    </row>
    <row r="263">
      <c r="A263" s="52" t="n"/>
      <c r="B263" s="49" t="n"/>
      <c r="C263" s="49" t="n"/>
      <c r="D263" s="49" t="n"/>
      <c r="E263" s="51" t="n"/>
      <c r="F263" s="51" t="n"/>
      <c r="G263" s="52" t="n"/>
      <c r="H263" s="51">
        <f>IFERROR(E263-F263,0)</f>
        <v/>
      </c>
      <c r="I263" s="52" t="n"/>
      <c r="J263" s="49">
        <f>IF(A263="","",IF(H263&lt;=0,"Paid",IF(AND(I263&lt;TODAY(),I263&lt;&gt;""),"Overdue","Open")))</f>
        <v/>
      </c>
      <c r="K263" s="49" t="n"/>
    </row>
    <row r="264">
      <c r="A264" s="52" t="n"/>
      <c r="B264" s="49" t="n"/>
      <c r="C264" s="49" t="n"/>
      <c r="D264" s="49" t="n"/>
      <c r="E264" s="51" t="n"/>
      <c r="F264" s="51" t="n"/>
      <c r="G264" s="52" t="n"/>
      <c r="H264" s="51">
        <f>IFERROR(E264-F264,0)</f>
        <v/>
      </c>
      <c r="I264" s="52" t="n"/>
      <c r="J264" s="49">
        <f>IF(A264="","",IF(H264&lt;=0,"Paid",IF(AND(I264&lt;TODAY(),I264&lt;&gt;""),"Overdue","Open")))</f>
        <v/>
      </c>
      <c r="K264" s="49" t="n"/>
    </row>
    <row r="265">
      <c r="A265" s="52" t="n"/>
      <c r="B265" s="49" t="n"/>
      <c r="C265" s="49" t="n"/>
      <c r="D265" s="49" t="n"/>
      <c r="E265" s="51" t="n"/>
      <c r="F265" s="51" t="n"/>
      <c r="G265" s="52" t="n"/>
      <c r="H265" s="51">
        <f>IFERROR(E265-F265,0)</f>
        <v/>
      </c>
      <c r="I265" s="52" t="n"/>
      <c r="J265" s="49">
        <f>IF(A265="","",IF(H265&lt;=0,"Paid",IF(AND(I265&lt;TODAY(),I265&lt;&gt;""),"Overdue","Open")))</f>
        <v/>
      </c>
      <c r="K265" s="49" t="n"/>
    </row>
    <row r="266">
      <c r="A266" s="52" t="n"/>
      <c r="B266" s="49" t="n"/>
      <c r="C266" s="49" t="n"/>
      <c r="D266" s="49" t="n"/>
      <c r="E266" s="51" t="n"/>
      <c r="F266" s="51" t="n"/>
      <c r="G266" s="52" t="n"/>
      <c r="H266" s="51">
        <f>IFERROR(E266-F266,0)</f>
        <v/>
      </c>
      <c r="I266" s="52" t="n"/>
      <c r="J266" s="49">
        <f>IF(A266="","",IF(H266&lt;=0,"Paid",IF(AND(I266&lt;TODAY(),I266&lt;&gt;""),"Overdue","Open")))</f>
        <v/>
      </c>
      <c r="K266" s="49" t="n"/>
    </row>
    <row r="267">
      <c r="A267" s="52" t="n"/>
      <c r="B267" s="49" t="n"/>
      <c r="C267" s="49" t="n"/>
      <c r="D267" s="49" t="n"/>
      <c r="E267" s="51" t="n"/>
      <c r="F267" s="51" t="n"/>
      <c r="G267" s="52" t="n"/>
      <c r="H267" s="51">
        <f>IFERROR(E267-F267,0)</f>
        <v/>
      </c>
      <c r="I267" s="52" t="n"/>
      <c r="J267" s="49">
        <f>IF(A267="","",IF(H267&lt;=0,"Paid",IF(AND(I267&lt;TODAY(),I267&lt;&gt;""),"Overdue","Open")))</f>
        <v/>
      </c>
      <c r="K267" s="49" t="n"/>
    </row>
    <row r="268">
      <c r="A268" s="52" t="n"/>
      <c r="B268" s="49" t="n"/>
      <c r="C268" s="49" t="n"/>
      <c r="D268" s="49" t="n"/>
      <c r="E268" s="51" t="n"/>
      <c r="F268" s="51" t="n"/>
      <c r="G268" s="52" t="n"/>
      <c r="H268" s="51">
        <f>IFERROR(E268-F268,0)</f>
        <v/>
      </c>
      <c r="I268" s="52" t="n"/>
      <c r="J268" s="49">
        <f>IF(A268="","",IF(H268&lt;=0,"Paid",IF(AND(I268&lt;TODAY(),I268&lt;&gt;""),"Overdue","Open")))</f>
        <v/>
      </c>
      <c r="K268" s="49" t="n"/>
    </row>
    <row r="269">
      <c r="A269" s="52" t="n"/>
      <c r="B269" s="49" t="n"/>
      <c r="C269" s="49" t="n"/>
      <c r="D269" s="49" t="n"/>
      <c r="E269" s="51" t="n"/>
      <c r="F269" s="51" t="n"/>
      <c r="G269" s="52" t="n"/>
      <c r="H269" s="51">
        <f>IFERROR(E269-F269,0)</f>
        <v/>
      </c>
      <c r="I269" s="52" t="n"/>
      <c r="J269" s="49">
        <f>IF(A269="","",IF(H269&lt;=0,"Paid",IF(AND(I269&lt;TODAY(),I269&lt;&gt;""),"Overdue","Open")))</f>
        <v/>
      </c>
      <c r="K269" s="49" t="n"/>
    </row>
    <row r="270">
      <c r="A270" s="52" t="n"/>
      <c r="B270" s="49" t="n"/>
      <c r="C270" s="49" t="n"/>
      <c r="D270" s="49" t="n"/>
      <c r="E270" s="51" t="n"/>
      <c r="F270" s="51" t="n"/>
      <c r="G270" s="52" t="n"/>
      <c r="H270" s="51">
        <f>IFERROR(E270-F270,0)</f>
        <v/>
      </c>
      <c r="I270" s="52" t="n"/>
      <c r="J270" s="49">
        <f>IF(A270="","",IF(H270&lt;=0,"Paid",IF(AND(I270&lt;TODAY(),I270&lt;&gt;""),"Overdue","Open")))</f>
        <v/>
      </c>
      <c r="K270" s="49" t="n"/>
    </row>
    <row r="271">
      <c r="A271" s="52" t="n"/>
      <c r="B271" s="49" t="n"/>
      <c r="C271" s="49" t="n"/>
      <c r="D271" s="49" t="n"/>
      <c r="E271" s="51" t="n"/>
      <c r="F271" s="51" t="n"/>
      <c r="G271" s="52" t="n"/>
      <c r="H271" s="51">
        <f>IFERROR(E271-F271,0)</f>
        <v/>
      </c>
      <c r="I271" s="52" t="n"/>
      <c r="J271" s="49">
        <f>IF(A271="","",IF(H271&lt;=0,"Paid",IF(AND(I271&lt;TODAY(),I271&lt;&gt;""),"Overdue","Open")))</f>
        <v/>
      </c>
      <c r="K271" s="49" t="n"/>
    </row>
    <row r="272">
      <c r="A272" s="52" t="n"/>
      <c r="B272" s="49" t="n"/>
      <c r="C272" s="49" t="n"/>
      <c r="D272" s="49" t="n"/>
      <c r="E272" s="51" t="n"/>
      <c r="F272" s="51" t="n"/>
      <c r="G272" s="52" t="n"/>
      <c r="H272" s="51">
        <f>IFERROR(E272-F272,0)</f>
        <v/>
      </c>
      <c r="I272" s="52" t="n"/>
      <c r="J272" s="49">
        <f>IF(A272="","",IF(H272&lt;=0,"Paid",IF(AND(I272&lt;TODAY(),I272&lt;&gt;""),"Overdue","Open")))</f>
        <v/>
      </c>
      <c r="K272" s="49" t="n"/>
    </row>
    <row r="273">
      <c r="A273" s="52" t="n"/>
      <c r="B273" s="49" t="n"/>
      <c r="C273" s="49" t="n"/>
      <c r="D273" s="49" t="n"/>
      <c r="E273" s="51" t="n"/>
      <c r="F273" s="51" t="n"/>
      <c r="G273" s="52" t="n"/>
      <c r="H273" s="51">
        <f>IFERROR(E273-F273,0)</f>
        <v/>
      </c>
      <c r="I273" s="52" t="n"/>
      <c r="J273" s="49">
        <f>IF(A273="","",IF(H273&lt;=0,"Paid",IF(AND(I273&lt;TODAY(),I273&lt;&gt;""),"Overdue","Open")))</f>
        <v/>
      </c>
      <c r="K273" s="49" t="n"/>
    </row>
    <row r="274">
      <c r="A274" s="52" t="n"/>
      <c r="B274" s="49" t="n"/>
      <c r="C274" s="49" t="n"/>
      <c r="D274" s="49" t="n"/>
      <c r="E274" s="51" t="n"/>
      <c r="F274" s="51" t="n"/>
      <c r="G274" s="52" t="n"/>
      <c r="H274" s="51">
        <f>IFERROR(E274-F274,0)</f>
        <v/>
      </c>
      <c r="I274" s="52" t="n"/>
      <c r="J274" s="49">
        <f>IF(A274="","",IF(H274&lt;=0,"Paid",IF(AND(I274&lt;TODAY(),I274&lt;&gt;""),"Overdue","Open")))</f>
        <v/>
      </c>
      <c r="K274" s="49" t="n"/>
    </row>
    <row r="275">
      <c r="A275" s="52" t="n"/>
      <c r="B275" s="49" t="n"/>
      <c r="C275" s="49" t="n"/>
      <c r="D275" s="49" t="n"/>
      <c r="E275" s="51" t="n"/>
      <c r="F275" s="51" t="n"/>
      <c r="G275" s="52" t="n"/>
      <c r="H275" s="51">
        <f>IFERROR(E275-F275,0)</f>
        <v/>
      </c>
      <c r="I275" s="52" t="n"/>
      <c r="J275" s="49">
        <f>IF(A275="","",IF(H275&lt;=0,"Paid",IF(AND(I275&lt;TODAY(),I275&lt;&gt;""),"Overdue","Open")))</f>
        <v/>
      </c>
      <c r="K275" s="49" t="n"/>
    </row>
    <row r="276">
      <c r="A276" s="52" t="n"/>
      <c r="B276" s="49" t="n"/>
      <c r="C276" s="49" t="n"/>
      <c r="D276" s="49" t="n"/>
      <c r="E276" s="51" t="n"/>
      <c r="F276" s="51" t="n"/>
      <c r="G276" s="52" t="n"/>
      <c r="H276" s="51">
        <f>IFERROR(E276-F276,0)</f>
        <v/>
      </c>
      <c r="I276" s="52" t="n"/>
      <c r="J276" s="49">
        <f>IF(A276="","",IF(H276&lt;=0,"Paid",IF(AND(I276&lt;TODAY(),I276&lt;&gt;""),"Overdue","Open")))</f>
        <v/>
      </c>
      <c r="K276" s="49" t="n"/>
    </row>
    <row r="277">
      <c r="A277" s="52" t="n"/>
      <c r="B277" s="49" t="n"/>
      <c r="C277" s="49" t="n"/>
      <c r="D277" s="49" t="n"/>
      <c r="E277" s="51" t="n"/>
      <c r="F277" s="51" t="n"/>
      <c r="G277" s="52" t="n"/>
      <c r="H277" s="51">
        <f>IFERROR(E277-F277,0)</f>
        <v/>
      </c>
      <c r="I277" s="52" t="n"/>
      <c r="J277" s="49">
        <f>IF(A277="","",IF(H277&lt;=0,"Paid",IF(AND(I277&lt;TODAY(),I277&lt;&gt;""),"Overdue","Open")))</f>
        <v/>
      </c>
      <c r="K277" s="49" t="n"/>
    </row>
    <row r="278">
      <c r="A278" s="52" t="n"/>
      <c r="B278" s="49" t="n"/>
      <c r="C278" s="49" t="n"/>
      <c r="D278" s="49" t="n"/>
      <c r="E278" s="51" t="n"/>
      <c r="F278" s="51" t="n"/>
      <c r="G278" s="52" t="n"/>
      <c r="H278" s="51">
        <f>IFERROR(E278-F278,0)</f>
        <v/>
      </c>
      <c r="I278" s="52" t="n"/>
      <c r="J278" s="49">
        <f>IF(A278="","",IF(H278&lt;=0,"Paid",IF(AND(I278&lt;TODAY(),I278&lt;&gt;""),"Overdue","Open")))</f>
        <v/>
      </c>
      <c r="K278" s="49" t="n"/>
    </row>
    <row r="279">
      <c r="A279" s="52" t="n"/>
      <c r="B279" s="49" t="n"/>
      <c r="C279" s="49" t="n"/>
      <c r="D279" s="49" t="n"/>
      <c r="E279" s="51" t="n"/>
      <c r="F279" s="51" t="n"/>
      <c r="G279" s="52" t="n"/>
      <c r="H279" s="51">
        <f>IFERROR(E279-F279,0)</f>
        <v/>
      </c>
      <c r="I279" s="52" t="n"/>
      <c r="J279" s="49">
        <f>IF(A279="","",IF(H279&lt;=0,"Paid",IF(AND(I279&lt;TODAY(),I279&lt;&gt;""),"Overdue","Open")))</f>
        <v/>
      </c>
      <c r="K279" s="49" t="n"/>
    </row>
    <row r="280">
      <c r="A280" s="52" t="n"/>
      <c r="B280" s="49" t="n"/>
      <c r="C280" s="49" t="n"/>
      <c r="D280" s="49" t="n"/>
      <c r="E280" s="51" t="n"/>
      <c r="F280" s="51" t="n"/>
      <c r="G280" s="52" t="n"/>
      <c r="H280" s="51">
        <f>IFERROR(E280-F280,0)</f>
        <v/>
      </c>
      <c r="I280" s="52" t="n"/>
      <c r="J280" s="49">
        <f>IF(A280="","",IF(H280&lt;=0,"Paid",IF(AND(I280&lt;TODAY(),I280&lt;&gt;""),"Overdue","Open")))</f>
        <v/>
      </c>
      <c r="K280" s="49" t="n"/>
    </row>
    <row r="281">
      <c r="A281" s="52" t="n"/>
      <c r="B281" s="49" t="n"/>
      <c r="C281" s="49" t="n"/>
      <c r="D281" s="49" t="n"/>
      <c r="E281" s="51" t="n"/>
      <c r="F281" s="51" t="n"/>
      <c r="G281" s="52" t="n"/>
      <c r="H281" s="51">
        <f>IFERROR(E281-F281,0)</f>
        <v/>
      </c>
      <c r="I281" s="52" t="n"/>
      <c r="J281" s="49">
        <f>IF(A281="","",IF(H281&lt;=0,"Paid",IF(AND(I281&lt;TODAY(),I281&lt;&gt;""),"Overdue","Open")))</f>
        <v/>
      </c>
      <c r="K281" s="49" t="n"/>
    </row>
    <row r="282">
      <c r="A282" s="52" t="n"/>
      <c r="B282" s="49" t="n"/>
      <c r="C282" s="49" t="n"/>
      <c r="D282" s="49" t="n"/>
      <c r="E282" s="51" t="n"/>
      <c r="F282" s="51" t="n"/>
      <c r="G282" s="52" t="n"/>
      <c r="H282" s="51">
        <f>IFERROR(E282-F282,0)</f>
        <v/>
      </c>
      <c r="I282" s="52" t="n"/>
      <c r="J282" s="49">
        <f>IF(A282="","",IF(H282&lt;=0,"Paid",IF(AND(I282&lt;TODAY(),I282&lt;&gt;""),"Overdue","Open")))</f>
        <v/>
      </c>
      <c r="K282" s="49" t="n"/>
    </row>
    <row r="283">
      <c r="A283" s="52" t="n"/>
      <c r="B283" s="49" t="n"/>
      <c r="C283" s="49" t="n"/>
      <c r="D283" s="49" t="n"/>
      <c r="E283" s="51" t="n"/>
      <c r="F283" s="51" t="n"/>
      <c r="G283" s="52" t="n"/>
      <c r="H283" s="51">
        <f>IFERROR(E283-F283,0)</f>
        <v/>
      </c>
      <c r="I283" s="52" t="n"/>
      <c r="J283" s="49">
        <f>IF(A283="","",IF(H283&lt;=0,"Paid",IF(AND(I283&lt;TODAY(),I283&lt;&gt;""),"Overdue","Open")))</f>
        <v/>
      </c>
      <c r="K283" s="49" t="n"/>
    </row>
    <row r="284">
      <c r="A284" s="52" t="n"/>
      <c r="B284" s="49" t="n"/>
      <c r="C284" s="49" t="n"/>
      <c r="D284" s="49" t="n"/>
      <c r="E284" s="51" t="n"/>
      <c r="F284" s="51" t="n"/>
      <c r="G284" s="52" t="n"/>
      <c r="H284" s="51">
        <f>IFERROR(E284-F284,0)</f>
        <v/>
      </c>
      <c r="I284" s="52" t="n"/>
      <c r="J284" s="49">
        <f>IF(A284="","",IF(H284&lt;=0,"Paid",IF(AND(I284&lt;TODAY(),I284&lt;&gt;""),"Overdue","Open")))</f>
        <v/>
      </c>
      <c r="K284" s="49" t="n"/>
    </row>
    <row r="285">
      <c r="A285" s="52" t="n"/>
      <c r="B285" s="49" t="n"/>
      <c r="C285" s="49" t="n"/>
      <c r="D285" s="49" t="n"/>
      <c r="E285" s="51" t="n"/>
      <c r="F285" s="51" t="n"/>
      <c r="G285" s="52" t="n"/>
      <c r="H285" s="51">
        <f>IFERROR(E285-F285,0)</f>
        <v/>
      </c>
      <c r="I285" s="52" t="n"/>
      <c r="J285" s="49">
        <f>IF(A285="","",IF(H285&lt;=0,"Paid",IF(AND(I285&lt;TODAY(),I285&lt;&gt;""),"Overdue","Open")))</f>
        <v/>
      </c>
      <c r="K285" s="49" t="n"/>
    </row>
    <row r="286">
      <c r="A286" s="52" t="n"/>
      <c r="B286" s="49" t="n"/>
      <c r="C286" s="49" t="n"/>
      <c r="D286" s="49" t="n"/>
      <c r="E286" s="51" t="n"/>
      <c r="F286" s="51" t="n"/>
      <c r="G286" s="52" t="n"/>
      <c r="H286" s="51">
        <f>IFERROR(E286-F286,0)</f>
        <v/>
      </c>
      <c r="I286" s="52" t="n"/>
      <c r="J286" s="49">
        <f>IF(A286="","",IF(H286&lt;=0,"Paid",IF(AND(I286&lt;TODAY(),I286&lt;&gt;""),"Overdue","Open")))</f>
        <v/>
      </c>
      <c r="K286" s="49" t="n"/>
    </row>
    <row r="287">
      <c r="A287" s="52" t="n"/>
      <c r="B287" s="49" t="n"/>
      <c r="C287" s="49" t="n"/>
      <c r="D287" s="49" t="n"/>
      <c r="E287" s="51" t="n"/>
      <c r="F287" s="51" t="n"/>
      <c r="G287" s="52" t="n"/>
      <c r="H287" s="51">
        <f>IFERROR(E287-F287,0)</f>
        <v/>
      </c>
      <c r="I287" s="52" t="n"/>
      <c r="J287" s="49">
        <f>IF(A287="","",IF(H287&lt;=0,"Paid",IF(AND(I287&lt;TODAY(),I287&lt;&gt;""),"Overdue","Open")))</f>
        <v/>
      </c>
      <c r="K287" s="49" t="n"/>
    </row>
    <row r="288">
      <c r="A288" s="52" t="n"/>
      <c r="B288" s="49" t="n"/>
      <c r="C288" s="49" t="n"/>
      <c r="D288" s="49" t="n"/>
      <c r="E288" s="51" t="n"/>
      <c r="F288" s="51" t="n"/>
      <c r="G288" s="52" t="n"/>
      <c r="H288" s="51">
        <f>IFERROR(E288-F288,0)</f>
        <v/>
      </c>
      <c r="I288" s="52" t="n"/>
      <c r="J288" s="49">
        <f>IF(A288="","",IF(H288&lt;=0,"Paid",IF(AND(I288&lt;TODAY(),I288&lt;&gt;""),"Overdue","Open")))</f>
        <v/>
      </c>
      <c r="K288" s="49" t="n"/>
    </row>
    <row r="289">
      <c r="A289" s="52" t="n"/>
      <c r="B289" s="49" t="n"/>
      <c r="C289" s="49" t="n"/>
      <c r="D289" s="49" t="n"/>
      <c r="E289" s="51" t="n"/>
      <c r="F289" s="51" t="n"/>
      <c r="G289" s="52" t="n"/>
      <c r="H289" s="51">
        <f>IFERROR(E289-F289,0)</f>
        <v/>
      </c>
      <c r="I289" s="52" t="n"/>
      <c r="J289" s="49">
        <f>IF(A289="","",IF(H289&lt;=0,"Paid",IF(AND(I289&lt;TODAY(),I289&lt;&gt;""),"Overdue","Open")))</f>
        <v/>
      </c>
      <c r="K289" s="49" t="n"/>
    </row>
    <row r="290">
      <c r="A290" s="52" t="n"/>
      <c r="B290" s="49" t="n"/>
      <c r="C290" s="49" t="n"/>
      <c r="D290" s="49" t="n"/>
      <c r="E290" s="51" t="n"/>
      <c r="F290" s="51" t="n"/>
      <c r="G290" s="52" t="n"/>
      <c r="H290" s="51">
        <f>IFERROR(E290-F290,0)</f>
        <v/>
      </c>
      <c r="I290" s="52" t="n"/>
      <c r="J290" s="49">
        <f>IF(A290="","",IF(H290&lt;=0,"Paid",IF(AND(I290&lt;TODAY(),I290&lt;&gt;""),"Overdue","Open")))</f>
        <v/>
      </c>
      <c r="K290" s="49" t="n"/>
    </row>
    <row r="291">
      <c r="A291" s="52" t="n"/>
      <c r="B291" s="49" t="n"/>
      <c r="C291" s="49" t="n"/>
      <c r="D291" s="49" t="n"/>
      <c r="E291" s="51" t="n"/>
      <c r="F291" s="51" t="n"/>
      <c r="G291" s="52" t="n"/>
      <c r="H291" s="51">
        <f>IFERROR(E291-F291,0)</f>
        <v/>
      </c>
      <c r="I291" s="52" t="n"/>
      <c r="J291" s="49">
        <f>IF(A291="","",IF(H291&lt;=0,"Paid",IF(AND(I291&lt;TODAY(),I291&lt;&gt;""),"Overdue","Open")))</f>
        <v/>
      </c>
      <c r="K291" s="49" t="n"/>
    </row>
    <row r="292">
      <c r="A292" s="52" t="n"/>
      <c r="B292" s="49" t="n"/>
      <c r="C292" s="49" t="n"/>
      <c r="D292" s="49" t="n"/>
      <c r="E292" s="51" t="n"/>
      <c r="F292" s="51" t="n"/>
      <c r="G292" s="52" t="n"/>
      <c r="H292" s="51">
        <f>IFERROR(E292-F292,0)</f>
        <v/>
      </c>
      <c r="I292" s="52" t="n"/>
      <c r="J292" s="49">
        <f>IF(A292="","",IF(H292&lt;=0,"Paid",IF(AND(I292&lt;TODAY(),I292&lt;&gt;""),"Overdue","Open")))</f>
        <v/>
      </c>
      <c r="K292" s="49" t="n"/>
    </row>
    <row r="293">
      <c r="A293" s="52" t="n"/>
      <c r="B293" s="49" t="n"/>
      <c r="C293" s="49" t="n"/>
      <c r="D293" s="49" t="n"/>
      <c r="E293" s="51" t="n"/>
      <c r="F293" s="51" t="n"/>
      <c r="G293" s="52" t="n"/>
      <c r="H293" s="51">
        <f>IFERROR(E293-F293,0)</f>
        <v/>
      </c>
      <c r="I293" s="52" t="n"/>
      <c r="J293" s="49">
        <f>IF(A293="","",IF(H293&lt;=0,"Paid",IF(AND(I293&lt;TODAY(),I293&lt;&gt;""),"Overdue","Open")))</f>
        <v/>
      </c>
      <c r="K293" s="49" t="n"/>
    </row>
    <row r="294">
      <c r="A294" s="52" t="n"/>
      <c r="B294" s="49" t="n"/>
      <c r="C294" s="49" t="n"/>
      <c r="D294" s="49" t="n"/>
      <c r="E294" s="51" t="n"/>
      <c r="F294" s="51" t="n"/>
      <c r="G294" s="52" t="n"/>
      <c r="H294" s="51">
        <f>IFERROR(E294-F294,0)</f>
        <v/>
      </c>
      <c r="I294" s="52" t="n"/>
      <c r="J294" s="49">
        <f>IF(A294="","",IF(H294&lt;=0,"Paid",IF(AND(I294&lt;TODAY(),I294&lt;&gt;""),"Overdue","Open")))</f>
        <v/>
      </c>
      <c r="K294" s="49" t="n"/>
    </row>
    <row r="295">
      <c r="A295" s="52" t="n"/>
      <c r="B295" s="49" t="n"/>
      <c r="C295" s="49" t="n"/>
      <c r="D295" s="49" t="n"/>
      <c r="E295" s="51" t="n"/>
      <c r="F295" s="51" t="n"/>
      <c r="G295" s="52" t="n"/>
      <c r="H295" s="51">
        <f>IFERROR(E295-F295,0)</f>
        <v/>
      </c>
      <c r="I295" s="52" t="n"/>
      <c r="J295" s="49">
        <f>IF(A295="","",IF(H295&lt;=0,"Paid",IF(AND(I295&lt;TODAY(),I295&lt;&gt;""),"Overdue","Open")))</f>
        <v/>
      </c>
      <c r="K295" s="49" t="n"/>
    </row>
    <row r="296">
      <c r="A296" s="52" t="n"/>
      <c r="B296" s="49" t="n"/>
      <c r="C296" s="49" t="n"/>
      <c r="D296" s="49" t="n"/>
      <c r="E296" s="51" t="n"/>
      <c r="F296" s="51" t="n"/>
      <c r="G296" s="52" t="n"/>
      <c r="H296" s="51">
        <f>IFERROR(E296-F296,0)</f>
        <v/>
      </c>
      <c r="I296" s="52" t="n"/>
      <c r="J296" s="49">
        <f>IF(A296="","",IF(H296&lt;=0,"Paid",IF(AND(I296&lt;TODAY(),I296&lt;&gt;""),"Overdue","Open")))</f>
        <v/>
      </c>
      <c r="K296" s="49" t="n"/>
    </row>
    <row r="297">
      <c r="A297" s="52" t="n"/>
      <c r="B297" s="49" t="n"/>
      <c r="C297" s="49" t="n"/>
      <c r="D297" s="49" t="n"/>
      <c r="E297" s="51" t="n"/>
      <c r="F297" s="51" t="n"/>
      <c r="G297" s="52" t="n"/>
      <c r="H297" s="51">
        <f>IFERROR(E297-F297,0)</f>
        <v/>
      </c>
      <c r="I297" s="52" t="n"/>
      <c r="J297" s="49">
        <f>IF(A297="","",IF(H297&lt;=0,"Paid",IF(AND(I297&lt;TODAY(),I297&lt;&gt;""),"Overdue","Open")))</f>
        <v/>
      </c>
      <c r="K297" s="49" t="n"/>
    </row>
    <row r="298">
      <c r="A298" s="52" t="n"/>
      <c r="B298" s="49" t="n"/>
      <c r="C298" s="49" t="n"/>
      <c r="D298" s="49" t="n"/>
      <c r="E298" s="51" t="n"/>
      <c r="F298" s="51" t="n"/>
      <c r="G298" s="52" t="n"/>
      <c r="H298" s="51">
        <f>IFERROR(E298-F298,0)</f>
        <v/>
      </c>
      <c r="I298" s="52" t="n"/>
      <c r="J298" s="49">
        <f>IF(A298="","",IF(H298&lt;=0,"Paid",IF(AND(I298&lt;TODAY(),I298&lt;&gt;""),"Overdue","Open")))</f>
        <v/>
      </c>
      <c r="K298" s="49" t="n"/>
    </row>
    <row r="299">
      <c r="A299" s="52" t="n"/>
      <c r="B299" s="49" t="n"/>
      <c r="C299" s="49" t="n"/>
      <c r="D299" s="49" t="n"/>
      <c r="E299" s="51" t="n"/>
      <c r="F299" s="51" t="n"/>
      <c r="G299" s="52" t="n"/>
      <c r="H299" s="51">
        <f>IFERROR(E299-F299,0)</f>
        <v/>
      </c>
      <c r="I299" s="52" t="n"/>
      <c r="J299" s="49">
        <f>IF(A299="","",IF(H299&lt;=0,"Paid",IF(AND(I299&lt;TODAY(),I299&lt;&gt;""),"Overdue","Open")))</f>
        <v/>
      </c>
      <c r="K299" s="49" t="n"/>
    </row>
    <row r="300">
      <c r="A300" s="52" t="n"/>
      <c r="B300" s="49" t="n"/>
      <c r="C300" s="49" t="n"/>
      <c r="D300" s="49" t="n"/>
      <c r="E300" s="51" t="n"/>
      <c r="F300" s="51" t="n"/>
      <c r="G300" s="52" t="n"/>
      <c r="H300" s="51">
        <f>IFERROR(E300-F300,0)</f>
        <v/>
      </c>
      <c r="I300" s="52" t="n"/>
      <c r="J300" s="49">
        <f>IF(A300="","",IF(H300&lt;=0,"Paid",IF(AND(I300&lt;TODAY(),I300&lt;&gt;""),"Overdue","Open")))</f>
        <v/>
      </c>
      <c r="K300" s="49" t="n"/>
    </row>
    <row r="301">
      <c r="A301" s="52" t="n"/>
      <c r="B301" s="49" t="n"/>
      <c r="C301" s="49" t="n"/>
      <c r="D301" s="49" t="n"/>
      <c r="E301" s="51" t="n"/>
      <c r="F301" s="51" t="n"/>
      <c r="G301" s="52" t="n"/>
      <c r="H301" s="51">
        <f>IFERROR(E301-F301,0)</f>
        <v/>
      </c>
      <c r="I301" s="52" t="n"/>
      <c r="J301" s="49">
        <f>IF(A301="","",IF(H301&lt;=0,"Paid",IF(AND(I301&lt;TODAY(),I301&lt;&gt;""),"Overdue","Open")))</f>
        <v/>
      </c>
      <c r="K301" s="49" t="n"/>
    </row>
    <row r="302">
      <c r="A302" s="52" t="n"/>
      <c r="B302" s="49" t="n"/>
      <c r="C302" s="49" t="n"/>
      <c r="D302" s="49" t="n"/>
      <c r="E302" s="51" t="n"/>
      <c r="F302" s="51" t="n"/>
      <c r="G302" s="52" t="n"/>
      <c r="H302" s="51">
        <f>IFERROR(E302-F302,0)</f>
        <v/>
      </c>
      <c r="I302" s="52" t="n"/>
      <c r="J302" s="49">
        <f>IF(A302="","",IF(H302&lt;=0,"Paid",IF(AND(I302&lt;TODAY(),I302&lt;&gt;""),"Overdue","Open")))</f>
        <v/>
      </c>
      <c r="K302" s="49" t="n"/>
    </row>
    <row r="303">
      <c r="A303" s="52" t="n"/>
      <c r="B303" s="49" t="n"/>
      <c r="C303" s="49" t="n"/>
      <c r="D303" s="49" t="n"/>
      <c r="E303" s="51" t="n"/>
      <c r="F303" s="51" t="n"/>
      <c r="G303" s="52" t="n"/>
      <c r="H303" s="51">
        <f>IFERROR(E303-F303,0)</f>
        <v/>
      </c>
      <c r="I303" s="52" t="n"/>
      <c r="J303" s="49">
        <f>IF(A303="","",IF(H303&lt;=0,"Paid",IF(AND(I303&lt;TODAY(),I303&lt;&gt;""),"Overdue","Open")))</f>
        <v/>
      </c>
      <c r="K303" s="49" t="n"/>
    </row>
    <row r="304">
      <c r="A304" s="52" t="n"/>
      <c r="B304" s="49" t="n"/>
      <c r="C304" s="49" t="n"/>
      <c r="D304" s="49" t="n"/>
      <c r="E304" s="51" t="n"/>
      <c r="F304" s="51" t="n"/>
      <c r="G304" s="52" t="n"/>
      <c r="H304" s="51">
        <f>IFERROR(E304-F304,0)</f>
        <v/>
      </c>
      <c r="I304" s="52" t="n"/>
      <c r="J304" s="49">
        <f>IF(A304="","",IF(H304&lt;=0,"Paid",IF(AND(I304&lt;TODAY(),I304&lt;&gt;""),"Overdue","Open")))</f>
        <v/>
      </c>
      <c r="K304" s="49" t="n"/>
    </row>
    <row r="305">
      <c r="A305" s="52" t="n"/>
      <c r="B305" s="49" t="n"/>
      <c r="C305" s="49" t="n"/>
      <c r="D305" s="49" t="n"/>
      <c r="E305" s="51" t="n"/>
      <c r="F305" s="51" t="n"/>
      <c r="G305" s="52" t="n"/>
      <c r="H305" s="51">
        <f>IFERROR(E305-F305,0)</f>
        <v/>
      </c>
      <c r="I305" s="52" t="n"/>
      <c r="J305" s="49">
        <f>IF(A305="","",IF(H305&lt;=0,"Paid",IF(AND(I305&lt;TODAY(),I305&lt;&gt;""),"Overdue","Open")))</f>
        <v/>
      </c>
      <c r="K305" s="49" t="n"/>
    </row>
    <row r="306">
      <c r="A306" s="52" t="n"/>
      <c r="B306" s="49" t="n"/>
      <c r="C306" s="49" t="n"/>
      <c r="D306" s="49" t="n"/>
      <c r="E306" s="51" t="n"/>
      <c r="F306" s="51" t="n"/>
      <c r="G306" s="52" t="n"/>
      <c r="H306" s="51">
        <f>IFERROR(E306-F306,0)</f>
        <v/>
      </c>
      <c r="I306" s="52" t="n"/>
      <c r="J306" s="49">
        <f>IF(A306="","",IF(H306&lt;=0,"Paid",IF(AND(I306&lt;TODAY(),I306&lt;&gt;""),"Overdue","Open")))</f>
        <v/>
      </c>
      <c r="K306" s="49" t="n"/>
    </row>
    <row r="307">
      <c r="A307" s="52" t="n"/>
      <c r="B307" s="49" t="n"/>
      <c r="C307" s="49" t="n"/>
      <c r="D307" s="49" t="n"/>
      <c r="E307" s="51" t="n"/>
      <c r="F307" s="51" t="n"/>
      <c r="G307" s="52" t="n"/>
      <c r="H307" s="51">
        <f>IFERROR(E307-F307,0)</f>
        <v/>
      </c>
      <c r="I307" s="52" t="n"/>
      <c r="J307" s="49">
        <f>IF(A307="","",IF(H307&lt;=0,"Paid",IF(AND(I307&lt;TODAY(),I307&lt;&gt;""),"Overdue","Open")))</f>
        <v/>
      </c>
      <c r="K307" s="49" t="n"/>
    </row>
    <row r="308">
      <c r="A308" s="52" t="n"/>
      <c r="B308" s="49" t="n"/>
      <c r="C308" s="49" t="n"/>
      <c r="D308" s="49" t="n"/>
      <c r="E308" s="51" t="n"/>
      <c r="F308" s="51" t="n"/>
      <c r="G308" s="52" t="n"/>
      <c r="H308" s="51">
        <f>IFERROR(E308-F308,0)</f>
        <v/>
      </c>
      <c r="I308" s="52" t="n"/>
      <c r="J308" s="49">
        <f>IF(A308="","",IF(H308&lt;=0,"Paid",IF(AND(I308&lt;TODAY(),I308&lt;&gt;""),"Overdue","Open")))</f>
        <v/>
      </c>
      <c r="K308" s="49" t="n"/>
    </row>
    <row r="309">
      <c r="A309" s="52" t="n"/>
      <c r="B309" s="49" t="n"/>
      <c r="C309" s="49" t="n"/>
      <c r="D309" s="49" t="n"/>
      <c r="E309" s="51" t="n"/>
      <c r="F309" s="51" t="n"/>
      <c r="G309" s="52" t="n"/>
      <c r="H309" s="51">
        <f>IFERROR(E309-F309,0)</f>
        <v/>
      </c>
      <c r="I309" s="52" t="n"/>
      <c r="J309" s="49">
        <f>IF(A309="","",IF(H309&lt;=0,"Paid",IF(AND(I309&lt;TODAY(),I309&lt;&gt;""),"Overdue","Open")))</f>
        <v/>
      </c>
      <c r="K309" s="49" t="n"/>
    </row>
    <row r="310">
      <c r="A310" s="52" t="n"/>
      <c r="B310" s="49" t="n"/>
      <c r="C310" s="49" t="n"/>
      <c r="D310" s="49" t="n"/>
      <c r="E310" s="51" t="n"/>
      <c r="F310" s="51" t="n"/>
      <c r="G310" s="52" t="n"/>
      <c r="H310" s="51">
        <f>IFERROR(E310-F310,0)</f>
        <v/>
      </c>
      <c r="I310" s="52" t="n"/>
      <c r="J310" s="49">
        <f>IF(A310="","",IF(H310&lt;=0,"Paid",IF(AND(I310&lt;TODAY(),I310&lt;&gt;""),"Overdue","Open")))</f>
        <v/>
      </c>
      <c r="K310" s="49" t="n"/>
    </row>
    <row r="311">
      <c r="A311" s="52" t="n"/>
      <c r="B311" s="49" t="n"/>
      <c r="C311" s="49" t="n"/>
      <c r="D311" s="49" t="n"/>
      <c r="E311" s="51" t="n"/>
      <c r="F311" s="51" t="n"/>
      <c r="G311" s="52" t="n"/>
      <c r="H311" s="51">
        <f>IFERROR(E311-F311,0)</f>
        <v/>
      </c>
      <c r="I311" s="52" t="n"/>
      <c r="J311" s="49">
        <f>IF(A311="","",IF(H311&lt;=0,"Paid",IF(AND(I311&lt;TODAY(),I311&lt;&gt;""),"Overdue","Open")))</f>
        <v/>
      </c>
      <c r="K311" s="49" t="n"/>
    </row>
    <row r="312">
      <c r="A312" s="52" t="n"/>
      <c r="B312" s="49" t="n"/>
      <c r="C312" s="49" t="n"/>
      <c r="D312" s="49" t="n"/>
      <c r="E312" s="51" t="n"/>
      <c r="F312" s="51" t="n"/>
      <c r="G312" s="52" t="n"/>
      <c r="H312" s="51">
        <f>IFERROR(E312-F312,0)</f>
        <v/>
      </c>
      <c r="I312" s="52" t="n"/>
      <c r="J312" s="49">
        <f>IF(A312="","",IF(H312&lt;=0,"Paid",IF(AND(I312&lt;TODAY(),I312&lt;&gt;""),"Overdue","Open")))</f>
        <v/>
      </c>
      <c r="K312" s="49" t="n"/>
    </row>
    <row r="313">
      <c r="A313" s="52" t="n"/>
      <c r="B313" s="49" t="n"/>
      <c r="C313" s="49" t="n"/>
      <c r="D313" s="49" t="n"/>
      <c r="E313" s="51" t="n"/>
      <c r="F313" s="51" t="n"/>
      <c r="G313" s="52" t="n"/>
      <c r="H313" s="51">
        <f>IFERROR(E313-F313,0)</f>
        <v/>
      </c>
      <c r="I313" s="52" t="n"/>
      <c r="J313" s="49">
        <f>IF(A313="","",IF(H313&lt;=0,"Paid",IF(AND(I313&lt;TODAY(),I313&lt;&gt;""),"Overdue","Open")))</f>
        <v/>
      </c>
      <c r="K313" s="49" t="n"/>
    </row>
    <row r="314">
      <c r="A314" s="52" t="n"/>
      <c r="B314" s="49" t="n"/>
      <c r="C314" s="49" t="n"/>
      <c r="D314" s="49" t="n"/>
      <c r="E314" s="51" t="n"/>
      <c r="F314" s="51" t="n"/>
      <c r="G314" s="52" t="n"/>
      <c r="H314" s="51">
        <f>IFERROR(E314-F314,0)</f>
        <v/>
      </c>
      <c r="I314" s="52" t="n"/>
      <c r="J314" s="49">
        <f>IF(A314="","",IF(H314&lt;=0,"Paid",IF(AND(I314&lt;TODAY(),I314&lt;&gt;""),"Overdue","Open")))</f>
        <v/>
      </c>
      <c r="K314" s="49" t="n"/>
    </row>
    <row r="315">
      <c r="A315" s="52" t="n"/>
      <c r="B315" s="49" t="n"/>
      <c r="C315" s="49" t="n"/>
      <c r="D315" s="49" t="n"/>
      <c r="E315" s="51" t="n"/>
      <c r="F315" s="51" t="n"/>
      <c r="G315" s="52" t="n"/>
      <c r="H315" s="51">
        <f>IFERROR(E315-F315,0)</f>
        <v/>
      </c>
      <c r="I315" s="52" t="n"/>
      <c r="J315" s="49">
        <f>IF(A315="","",IF(H315&lt;=0,"Paid",IF(AND(I315&lt;TODAY(),I315&lt;&gt;""),"Overdue","Open")))</f>
        <v/>
      </c>
      <c r="K315" s="49" t="n"/>
    </row>
    <row r="316">
      <c r="A316" s="52" t="n"/>
      <c r="B316" s="49" t="n"/>
      <c r="C316" s="49" t="n"/>
      <c r="D316" s="49" t="n"/>
      <c r="E316" s="51" t="n"/>
      <c r="F316" s="51" t="n"/>
      <c r="G316" s="52" t="n"/>
      <c r="H316" s="51">
        <f>IFERROR(E316-F316,0)</f>
        <v/>
      </c>
      <c r="I316" s="52" t="n"/>
      <c r="J316" s="49">
        <f>IF(A316="","",IF(H316&lt;=0,"Paid",IF(AND(I316&lt;TODAY(),I316&lt;&gt;""),"Overdue","Open")))</f>
        <v/>
      </c>
      <c r="K316" s="49" t="n"/>
    </row>
    <row r="317">
      <c r="A317" s="52" t="n"/>
      <c r="B317" s="49" t="n"/>
      <c r="C317" s="49" t="n"/>
      <c r="D317" s="49" t="n"/>
      <c r="E317" s="51" t="n"/>
      <c r="F317" s="51" t="n"/>
      <c r="G317" s="52" t="n"/>
      <c r="H317" s="51">
        <f>IFERROR(E317-F317,0)</f>
        <v/>
      </c>
      <c r="I317" s="52" t="n"/>
      <c r="J317" s="49">
        <f>IF(A317="","",IF(H317&lt;=0,"Paid",IF(AND(I317&lt;TODAY(),I317&lt;&gt;""),"Overdue","Open")))</f>
        <v/>
      </c>
      <c r="K317" s="49" t="n"/>
    </row>
    <row r="318">
      <c r="A318" s="52" t="n"/>
      <c r="B318" s="49" t="n"/>
      <c r="C318" s="49" t="n"/>
      <c r="D318" s="49" t="n"/>
      <c r="E318" s="51" t="n"/>
      <c r="F318" s="51" t="n"/>
      <c r="G318" s="52" t="n"/>
      <c r="H318" s="51">
        <f>IFERROR(E318-F318,0)</f>
        <v/>
      </c>
      <c r="I318" s="52" t="n"/>
      <c r="J318" s="49">
        <f>IF(A318="","",IF(H318&lt;=0,"Paid",IF(AND(I318&lt;TODAY(),I318&lt;&gt;""),"Overdue","Open")))</f>
        <v/>
      </c>
      <c r="K318" s="49" t="n"/>
    </row>
    <row r="319">
      <c r="A319" s="52" t="n"/>
      <c r="B319" s="49" t="n"/>
      <c r="C319" s="49" t="n"/>
      <c r="D319" s="49" t="n"/>
      <c r="E319" s="51" t="n"/>
      <c r="F319" s="51" t="n"/>
      <c r="G319" s="52" t="n"/>
      <c r="H319" s="51">
        <f>IFERROR(E319-F319,0)</f>
        <v/>
      </c>
      <c r="I319" s="52" t="n"/>
      <c r="J319" s="49">
        <f>IF(A319="","",IF(H319&lt;=0,"Paid",IF(AND(I319&lt;TODAY(),I319&lt;&gt;""),"Overdue","Open")))</f>
        <v/>
      </c>
      <c r="K319" s="49" t="n"/>
    </row>
    <row r="320">
      <c r="A320" s="52" t="n"/>
      <c r="B320" s="49" t="n"/>
      <c r="C320" s="49" t="n"/>
      <c r="D320" s="49" t="n"/>
      <c r="E320" s="51" t="n"/>
      <c r="F320" s="51" t="n"/>
      <c r="G320" s="52" t="n"/>
      <c r="H320" s="51">
        <f>IFERROR(E320-F320,0)</f>
        <v/>
      </c>
      <c r="I320" s="52" t="n"/>
      <c r="J320" s="49">
        <f>IF(A320="","",IF(H320&lt;=0,"Paid",IF(AND(I320&lt;TODAY(),I320&lt;&gt;""),"Overdue","Open")))</f>
        <v/>
      </c>
      <c r="K320" s="49" t="n"/>
    </row>
    <row r="321">
      <c r="A321" s="52" t="n"/>
      <c r="B321" s="49" t="n"/>
      <c r="C321" s="49" t="n"/>
      <c r="D321" s="49" t="n"/>
      <c r="E321" s="51" t="n"/>
      <c r="F321" s="51" t="n"/>
      <c r="G321" s="52" t="n"/>
      <c r="H321" s="51">
        <f>IFERROR(E321-F321,0)</f>
        <v/>
      </c>
      <c r="I321" s="52" t="n"/>
      <c r="J321" s="49">
        <f>IF(A321="","",IF(H321&lt;=0,"Paid",IF(AND(I321&lt;TODAY(),I321&lt;&gt;""),"Overdue","Open")))</f>
        <v/>
      </c>
      <c r="K321" s="49" t="n"/>
    </row>
    <row r="322">
      <c r="A322" s="52" t="n"/>
      <c r="B322" s="49" t="n"/>
      <c r="C322" s="49" t="n"/>
      <c r="D322" s="49" t="n"/>
      <c r="E322" s="51" t="n"/>
      <c r="F322" s="51" t="n"/>
      <c r="G322" s="52" t="n"/>
      <c r="H322" s="51">
        <f>IFERROR(E322-F322,0)</f>
        <v/>
      </c>
      <c r="I322" s="52" t="n"/>
      <c r="J322" s="49">
        <f>IF(A322="","",IF(H322&lt;=0,"Paid",IF(AND(I322&lt;TODAY(),I322&lt;&gt;""),"Overdue","Open")))</f>
        <v/>
      </c>
      <c r="K322" s="49" t="n"/>
    </row>
    <row r="323">
      <c r="A323" s="52" t="n"/>
      <c r="B323" s="49" t="n"/>
      <c r="C323" s="49" t="n"/>
      <c r="D323" s="49" t="n"/>
      <c r="E323" s="51" t="n"/>
      <c r="F323" s="51" t="n"/>
      <c r="G323" s="52" t="n"/>
      <c r="H323" s="51">
        <f>IFERROR(E323-F323,0)</f>
        <v/>
      </c>
      <c r="I323" s="52" t="n"/>
      <c r="J323" s="49">
        <f>IF(A323="","",IF(H323&lt;=0,"Paid",IF(AND(I323&lt;TODAY(),I323&lt;&gt;""),"Overdue","Open")))</f>
        <v/>
      </c>
      <c r="K323" s="49" t="n"/>
    </row>
    <row r="324">
      <c r="A324" s="52" t="n"/>
      <c r="B324" s="49" t="n"/>
      <c r="C324" s="49" t="n"/>
      <c r="D324" s="49" t="n"/>
      <c r="E324" s="51" t="n"/>
      <c r="F324" s="51" t="n"/>
      <c r="G324" s="52" t="n"/>
      <c r="H324" s="51">
        <f>IFERROR(E324-F324,0)</f>
        <v/>
      </c>
      <c r="I324" s="52" t="n"/>
      <c r="J324" s="49">
        <f>IF(A324="","",IF(H324&lt;=0,"Paid",IF(AND(I324&lt;TODAY(),I324&lt;&gt;""),"Overdue","Open")))</f>
        <v/>
      </c>
      <c r="K324" s="49" t="n"/>
    </row>
    <row r="325">
      <c r="A325" s="52" t="n"/>
      <c r="B325" s="49" t="n"/>
      <c r="C325" s="49" t="n"/>
      <c r="D325" s="49" t="n"/>
      <c r="E325" s="51" t="n"/>
      <c r="F325" s="51" t="n"/>
      <c r="G325" s="52" t="n"/>
      <c r="H325" s="51">
        <f>IFERROR(E325-F325,0)</f>
        <v/>
      </c>
      <c r="I325" s="52" t="n"/>
      <c r="J325" s="49">
        <f>IF(A325="","",IF(H325&lt;=0,"Paid",IF(AND(I325&lt;TODAY(),I325&lt;&gt;""),"Overdue","Open")))</f>
        <v/>
      </c>
      <c r="K325" s="49" t="n"/>
    </row>
    <row r="326">
      <c r="A326" s="52" t="n"/>
      <c r="B326" s="49" t="n"/>
      <c r="C326" s="49" t="n"/>
      <c r="D326" s="49" t="n"/>
      <c r="E326" s="51" t="n"/>
      <c r="F326" s="51" t="n"/>
      <c r="G326" s="52" t="n"/>
      <c r="H326" s="51">
        <f>IFERROR(E326-F326,0)</f>
        <v/>
      </c>
      <c r="I326" s="52" t="n"/>
      <c r="J326" s="49">
        <f>IF(A326="","",IF(H326&lt;=0,"Paid",IF(AND(I326&lt;TODAY(),I326&lt;&gt;""),"Overdue","Open")))</f>
        <v/>
      </c>
      <c r="K326" s="49" t="n"/>
    </row>
    <row r="327">
      <c r="A327" s="52" t="n"/>
      <c r="B327" s="49" t="n"/>
      <c r="C327" s="49" t="n"/>
      <c r="D327" s="49" t="n"/>
      <c r="E327" s="51" t="n"/>
      <c r="F327" s="51" t="n"/>
      <c r="G327" s="52" t="n"/>
      <c r="H327" s="51">
        <f>IFERROR(E327-F327,0)</f>
        <v/>
      </c>
      <c r="I327" s="52" t="n"/>
      <c r="J327" s="49">
        <f>IF(A327="","",IF(H327&lt;=0,"Paid",IF(AND(I327&lt;TODAY(),I327&lt;&gt;""),"Overdue","Open")))</f>
        <v/>
      </c>
      <c r="K327" s="49" t="n"/>
    </row>
    <row r="328">
      <c r="A328" s="52" t="n"/>
      <c r="B328" s="49" t="n"/>
      <c r="C328" s="49" t="n"/>
      <c r="D328" s="49" t="n"/>
      <c r="E328" s="51" t="n"/>
      <c r="F328" s="51" t="n"/>
      <c r="G328" s="52" t="n"/>
      <c r="H328" s="51">
        <f>IFERROR(E328-F328,0)</f>
        <v/>
      </c>
      <c r="I328" s="52" t="n"/>
      <c r="J328" s="49">
        <f>IF(A328="","",IF(H328&lt;=0,"Paid",IF(AND(I328&lt;TODAY(),I328&lt;&gt;""),"Overdue","Open")))</f>
        <v/>
      </c>
      <c r="K328" s="49" t="n"/>
    </row>
    <row r="329">
      <c r="A329" s="52" t="n"/>
      <c r="B329" s="49" t="n"/>
      <c r="C329" s="49" t="n"/>
      <c r="D329" s="49" t="n"/>
      <c r="E329" s="51" t="n"/>
      <c r="F329" s="51" t="n"/>
      <c r="G329" s="52" t="n"/>
      <c r="H329" s="51">
        <f>IFERROR(E329-F329,0)</f>
        <v/>
      </c>
      <c r="I329" s="52" t="n"/>
      <c r="J329" s="49">
        <f>IF(A329="","",IF(H329&lt;=0,"Paid",IF(AND(I329&lt;TODAY(),I329&lt;&gt;""),"Overdue","Open")))</f>
        <v/>
      </c>
      <c r="K329" s="49" t="n"/>
    </row>
    <row r="330">
      <c r="A330" s="52" t="n"/>
      <c r="B330" s="49" t="n"/>
      <c r="C330" s="49" t="n"/>
      <c r="D330" s="49" t="n"/>
      <c r="E330" s="51" t="n"/>
      <c r="F330" s="51" t="n"/>
      <c r="G330" s="52" t="n"/>
      <c r="H330" s="51">
        <f>IFERROR(E330-F330,0)</f>
        <v/>
      </c>
      <c r="I330" s="52" t="n"/>
      <c r="J330" s="49">
        <f>IF(A330="","",IF(H330&lt;=0,"Paid",IF(AND(I330&lt;TODAY(),I330&lt;&gt;""),"Overdue","Open")))</f>
        <v/>
      </c>
      <c r="K330" s="49" t="n"/>
    </row>
    <row r="331">
      <c r="A331" s="52" t="n"/>
      <c r="B331" s="49" t="n"/>
      <c r="C331" s="49" t="n"/>
      <c r="D331" s="49" t="n"/>
      <c r="E331" s="51" t="n"/>
      <c r="F331" s="51" t="n"/>
      <c r="G331" s="52" t="n"/>
      <c r="H331" s="51">
        <f>IFERROR(E331-F331,0)</f>
        <v/>
      </c>
      <c r="I331" s="52" t="n"/>
      <c r="J331" s="49">
        <f>IF(A331="","",IF(H331&lt;=0,"Paid",IF(AND(I331&lt;TODAY(),I331&lt;&gt;""),"Overdue","Open")))</f>
        <v/>
      </c>
      <c r="K331" s="49" t="n"/>
    </row>
    <row r="332">
      <c r="A332" s="52" t="n"/>
      <c r="B332" s="49" t="n"/>
      <c r="C332" s="49" t="n"/>
      <c r="D332" s="49" t="n"/>
      <c r="E332" s="51" t="n"/>
      <c r="F332" s="51" t="n"/>
      <c r="G332" s="52" t="n"/>
      <c r="H332" s="51">
        <f>IFERROR(E332-F332,0)</f>
        <v/>
      </c>
      <c r="I332" s="52" t="n"/>
      <c r="J332" s="49">
        <f>IF(A332="","",IF(H332&lt;=0,"Paid",IF(AND(I332&lt;TODAY(),I332&lt;&gt;""),"Overdue","Open")))</f>
        <v/>
      </c>
      <c r="K332" s="49" t="n"/>
    </row>
    <row r="333">
      <c r="A333" s="52" t="n"/>
      <c r="B333" s="49" t="n"/>
      <c r="C333" s="49" t="n"/>
      <c r="D333" s="49" t="n"/>
      <c r="E333" s="51" t="n"/>
      <c r="F333" s="51" t="n"/>
      <c r="G333" s="52" t="n"/>
      <c r="H333" s="51">
        <f>IFERROR(E333-F333,0)</f>
        <v/>
      </c>
      <c r="I333" s="52" t="n"/>
      <c r="J333" s="49">
        <f>IF(A333="","",IF(H333&lt;=0,"Paid",IF(AND(I333&lt;TODAY(),I333&lt;&gt;""),"Overdue","Open")))</f>
        <v/>
      </c>
      <c r="K333" s="49" t="n"/>
    </row>
    <row r="334">
      <c r="A334" s="52" t="n"/>
      <c r="B334" s="49" t="n"/>
      <c r="C334" s="49" t="n"/>
      <c r="D334" s="49" t="n"/>
      <c r="E334" s="51" t="n"/>
      <c r="F334" s="51" t="n"/>
      <c r="G334" s="52" t="n"/>
      <c r="H334" s="51">
        <f>IFERROR(E334-F334,0)</f>
        <v/>
      </c>
      <c r="I334" s="52" t="n"/>
      <c r="J334" s="49">
        <f>IF(A334="","",IF(H334&lt;=0,"Paid",IF(AND(I334&lt;TODAY(),I334&lt;&gt;""),"Overdue","Open")))</f>
        <v/>
      </c>
      <c r="K334" s="49" t="n"/>
    </row>
    <row r="335">
      <c r="A335" s="52" t="n"/>
      <c r="B335" s="49" t="n"/>
      <c r="C335" s="49" t="n"/>
      <c r="D335" s="49" t="n"/>
      <c r="E335" s="51" t="n"/>
      <c r="F335" s="51" t="n"/>
      <c r="G335" s="52" t="n"/>
      <c r="H335" s="51">
        <f>IFERROR(E335-F335,0)</f>
        <v/>
      </c>
      <c r="I335" s="52" t="n"/>
      <c r="J335" s="49">
        <f>IF(A335="","",IF(H335&lt;=0,"Paid",IF(AND(I335&lt;TODAY(),I335&lt;&gt;""),"Overdue","Open")))</f>
        <v/>
      </c>
      <c r="K335" s="49" t="n"/>
    </row>
    <row r="336">
      <c r="A336" s="52" t="n"/>
      <c r="B336" s="49" t="n"/>
      <c r="C336" s="49" t="n"/>
      <c r="D336" s="49" t="n"/>
      <c r="E336" s="51" t="n"/>
      <c r="F336" s="51" t="n"/>
      <c r="G336" s="52" t="n"/>
      <c r="H336" s="51">
        <f>IFERROR(E336-F336,0)</f>
        <v/>
      </c>
      <c r="I336" s="52" t="n"/>
      <c r="J336" s="49">
        <f>IF(A336="","",IF(H336&lt;=0,"Paid",IF(AND(I336&lt;TODAY(),I336&lt;&gt;""),"Overdue","Open")))</f>
        <v/>
      </c>
      <c r="K336" s="49" t="n"/>
    </row>
    <row r="337">
      <c r="A337" s="52" t="n"/>
      <c r="B337" s="49" t="n"/>
      <c r="C337" s="49" t="n"/>
      <c r="D337" s="49" t="n"/>
      <c r="E337" s="51" t="n"/>
      <c r="F337" s="51" t="n"/>
      <c r="G337" s="52" t="n"/>
      <c r="H337" s="51">
        <f>IFERROR(E337-F337,0)</f>
        <v/>
      </c>
      <c r="I337" s="52" t="n"/>
      <c r="J337" s="49">
        <f>IF(A337="","",IF(H337&lt;=0,"Paid",IF(AND(I337&lt;TODAY(),I337&lt;&gt;""),"Overdue","Open")))</f>
        <v/>
      </c>
      <c r="K337" s="49" t="n"/>
    </row>
    <row r="338">
      <c r="A338" s="52" t="n"/>
      <c r="B338" s="49" t="n"/>
      <c r="C338" s="49" t="n"/>
      <c r="D338" s="49" t="n"/>
      <c r="E338" s="51" t="n"/>
      <c r="F338" s="51" t="n"/>
      <c r="G338" s="52" t="n"/>
      <c r="H338" s="51">
        <f>IFERROR(E338-F338,0)</f>
        <v/>
      </c>
      <c r="I338" s="52" t="n"/>
      <c r="J338" s="49">
        <f>IF(A338="","",IF(H338&lt;=0,"Paid",IF(AND(I338&lt;TODAY(),I338&lt;&gt;""),"Overdue","Open")))</f>
        <v/>
      </c>
      <c r="K338" s="49" t="n"/>
    </row>
    <row r="339">
      <c r="A339" s="52" t="n"/>
      <c r="B339" s="49" t="n"/>
      <c r="C339" s="49" t="n"/>
      <c r="D339" s="49" t="n"/>
      <c r="E339" s="51" t="n"/>
      <c r="F339" s="51" t="n"/>
      <c r="G339" s="52" t="n"/>
      <c r="H339" s="51">
        <f>IFERROR(E339-F339,0)</f>
        <v/>
      </c>
      <c r="I339" s="52" t="n"/>
      <c r="J339" s="49">
        <f>IF(A339="","",IF(H339&lt;=0,"Paid",IF(AND(I339&lt;TODAY(),I339&lt;&gt;""),"Overdue","Open")))</f>
        <v/>
      </c>
      <c r="K339" s="49" t="n"/>
    </row>
    <row r="340">
      <c r="A340" s="52" t="n"/>
      <c r="B340" s="49" t="n"/>
      <c r="C340" s="49" t="n"/>
      <c r="D340" s="49" t="n"/>
      <c r="E340" s="51" t="n"/>
      <c r="F340" s="51" t="n"/>
      <c r="G340" s="52" t="n"/>
      <c r="H340" s="51">
        <f>IFERROR(E340-F340,0)</f>
        <v/>
      </c>
      <c r="I340" s="52" t="n"/>
      <c r="J340" s="49">
        <f>IF(A340="","",IF(H340&lt;=0,"Paid",IF(AND(I340&lt;TODAY(),I340&lt;&gt;""),"Overdue","Open")))</f>
        <v/>
      </c>
      <c r="K340" s="49" t="n"/>
    </row>
    <row r="341">
      <c r="A341" s="52" t="n"/>
      <c r="B341" s="49" t="n"/>
      <c r="C341" s="49" t="n"/>
      <c r="D341" s="49" t="n"/>
      <c r="E341" s="51" t="n"/>
      <c r="F341" s="51" t="n"/>
      <c r="G341" s="52" t="n"/>
      <c r="H341" s="51">
        <f>IFERROR(E341-F341,0)</f>
        <v/>
      </c>
      <c r="I341" s="52" t="n"/>
      <c r="J341" s="49">
        <f>IF(A341="","",IF(H341&lt;=0,"Paid",IF(AND(I341&lt;TODAY(),I341&lt;&gt;""),"Overdue","Open")))</f>
        <v/>
      </c>
      <c r="K341" s="49" t="n"/>
    </row>
    <row r="342">
      <c r="A342" s="52" t="n"/>
      <c r="B342" s="49" t="n"/>
      <c r="C342" s="49" t="n"/>
      <c r="D342" s="49" t="n"/>
      <c r="E342" s="51" t="n"/>
      <c r="F342" s="51" t="n"/>
      <c r="G342" s="52" t="n"/>
      <c r="H342" s="51">
        <f>IFERROR(E342-F342,0)</f>
        <v/>
      </c>
      <c r="I342" s="52" t="n"/>
      <c r="J342" s="49">
        <f>IF(A342="","",IF(H342&lt;=0,"Paid",IF(AND(I342&lt;TODAY(),I342&lt;&gt;""),"Overdue","Open")))</f>
        <v/>
      </c>
      <c r="K342" s="49" t="n"/>
    </row>
    <row r="343">
      <c r="A343" s="52" t="n"/>
      <c r="B343" s="49" t="n"/>
      <c r="C343" s="49" t="n"/>
      <c r="D343" s="49" t="n"/>
      <c r="E343" s="51" t="n"/>
      <c r="F343" s="51" t="n"/>
      <c r="G343" s="52" t="n"/>
      <c r="H343" s="51">
        <f>IFERROR(E343-F343,0)</f>
        <v/>
      </c>
      <c r="I343" s="52" t="n"/>
      <c r="J343" s="49">
        <f>IF(A343="","",IF(H343&lt;=0,"Paid",IF(AND(I343&lt;TODAY(),I343&lt;&gt;""),"Overdue","Open")))</f>
        <v/>
      </c>
      <c r="K343" s="49" t="n"/>
    </row>
    <row r="344">
      <c r="A344" s="52" t="n"/>
      <c r="B344" s="49" t="n"/>
      <c r="C344" s="49" t="n"/>
      <c r="D344" s="49" t="n"/>
      <c r="E344" s="51" t="n"/>
      <c r="F344" s="51" t="n"/>
      <c r="G344" s="52" t="n"/>
      <c r="H344" s="51">
        <f>IFERROR(E344-F344,0)</f>
        <v/>
      </c>
      <c r="I344" s="52" t="n"/>
      <c r="J344" s="49">
        <f>IF(A344="","",IF(H344&lt;=0,"Paid",IF(AND(I344&lt;TODAY(),I344&lt;&gt;""),"Overdue","Open")))</f>
        <v/>
      </c>
      <c r="K344" s="49" t="n"/>
    </row>
    <row r="345">
      <c r="A345" s="52" t="n"/>
      <c r="B345" s="49" t="n"/>
      <c r="C345" s="49" t="n"/>
      <c r="D345" s="49" t="n"/>
      <c r="E345" s="51" t="n"/>
      <c r="F345" s="51" t="n"/>
      <c r="G345" s="52" t="n"/>
      <c r="H345" s="51">
        <f>IFERROR(E345-F345,0)</f>
        <v/>
      </c>
      <c r="I345" s="52" t="n"/>
      <c r="J345" s="49">
        <f>IF(A345="","",IF(H345&lt;=0,"Paid",IF(AND(I345&lt;TODAY(),I345&lt;&gt;""),"Overdue","Open")))</f>
        <v/>
      </c>
      <c r="K345" s="49" t="n"/>
    </row>
    <row r="346">
      <c r="A346" s="52" t="n"/>
      <c r="B346" s="49" t="n"/>
      <c r="C346" s="49" t="n"/>
      <c r="D346" s="49" t="n"/>
      <c r="E346" s="51" t="n"/>
      <c r="F346" s="51" t="n"/>
      <c r="G346" s="52" t="n"/>
      <c r="H346" s="51">
        <f>IFERROR(E346-F346,0)</f>
        <v/>
      </c>
      <c r="I346" s="52" t="n"/>
      <c r="J346" s="49">
        <f>IF(A346="","",IF(H346&lt;=0,"Paid",IF(AND(I346&lt;TODAY(),I346&lt;&gt;""),"Overdue","Open")))</f>
        <v/>
      </c>
      <c r="K346" s="49" t="n"/>
    </row>
    <row r="347">
      <c r="A347" s="52" t="n"/>
      <c r="B347" s="49" t="n"/>
      <c r="C347" s="49" t="n"/>
      <c r="D347" s="49" t="n"/>
      <c r="E347" s="51" t="n"/>
      <c r="F347" s="51" t="n"/>
      <c r="G347" s="52" t="n"/>
      <c r="H347" s="51">
        <f>IFERROR(E347-F347,0)</f>
        <v/>
      </c>
      <c r="I347" s="52" t="n"/>
      <c r="J347" s="49">
        <f>IF(A347="","",IF(H347&lt;=0,"Paid",IF(AND(I347&lt;TODAY(),I347&lt;&gt;""),"Overdue","Open")))</f>
        <v/>
      </c>
      <c r="K347" s="49" t="n"/>
    </row>
    <row r="348">
      <c r="A348" s="52" t="n"/>
      <c r="B348" s="49" t="n"/>
      <c r="C348" s="49" t="n"/>
      <c r="D348" s="49" t="n"/>
      <c r="E348" s="51" t="n"/>
      <c r="F348" s="51" t="n"/>
      <c r="G348" s="52" t="n"/>
      <c r="H348" s="51">
        <f>IFERROR(E348-F348,0)</f>
        <v/>
      </c>
      <c r="I348" s="52" t="n"/>
      <c r="J348" s="49">
        <f>IF(A348="","",IF(H348&lt;=0,"Paid",IF(AND(I348&lt;TODAY(),I348&lt;&gt;""),"Overdue","Open")))</f>
        <v/>
      </c>
      <c r="K348" s="49" t="n"/>
    </row>
    <row r="349">
      <c r="A349" s="52" t="n"/>
      <c r="B349" s="49" t="n"/>
      <c r="C349" s="49" t="n"/>
      <c r="D349" s="49" t="n"/>
      <c r="E349" s="51" t="n"/>
      <c r="F349" s="51" t="n"/>
      <c r="G349" s="52" t="n"/>
      <c r="H349" s="51">
        <f>IFERROR(E349-F349,0)</f>
        <v/>
      </c>
      <c r="I349" s="52" t="n"/>
      <c r="J349" s="49">
        <f>IF(A349="","",IF(H349&lt;=0,"Paid",IF(AND(I349&lt;TODAY(),I349&lt;&gt;""),"Overdue","Open")))</f>
        <v/>
      </c>
      <c r="K349" s="49" t="n"/>
    </row>
    <row r="350">
      <c r="A350" s="52" t="n"/>
      <c r="B350" s="49" t="n"/>
      <c r="C350" s="49" t="n"/>
      <c r="D350" s="49" t="n"/>
      <c r="E350" s="51" t="n"/>
      <c r="F350" s="51" t="n"/>
      <c r="G350" s="52" t="n"/>
      <c r="H350" s="51">
        <f>IFERROR(E350-F350,0)</f>
        <v/>
      </c>
      <c r="I350" s="52" t="n"/>
      <c r="J350" s="49">
        <f>IF(A350="","",IF(H350&lt;=0,"Paid",IF(AND(I350&lt;TODAY(),I350&lt;&gt;""),"Overdue","Open")))</f>
        <v/>
      </c>
      <c r="K350" s="49" t="n"/>
    </row>
    <row r="351">
      <c r="A351" s="52" t="n"/>
      <c r="B351" s="49" t="n"/>
      <c r="C351" s="49" t="n"/>
      <c r="D351" s="49" t="n"/>
      <c r="E351" s="51" t="n"/>
      <c r="F351" s="51" t="n"/>
      <c r="G351" s="52" t="n"/>
      <c r="H351" s="51">
        <f>IFERROR(E351-F351,0)</f>
        <v/>
      </c>
      <c r="I351" s="52" t="n"/>
      <c r="J351" s="49">
        <f>IF(A351="","",IF(H351&lt;=0,"Paid",IF(AND(I351&lt;TODAY(),I351&lt;&gt;""),"Overdue","Open")))</f>
        <v/>
      </c>
      <c r="K351" s="49" t="n"/>
    </row>
    <row r="352">
      <c r="A352" s="52" t="n"/>
      <c r="B352" s="49" t="n"/>
      <c r="C352" s="49" t="n"/>
      <c r="D352" s="49" t="n"/>
      <c r="E352" s="51" t="n"/>
      <c r="F352" s="51" t="n"/>
      <c r="G352" s="52" t="n"/>
      <c r="H352" s="51">
        <f>IFERROR(E352-F352,0)</f>
        <v/>
      </c>
      <c r="I352" s="52" t="n"/>
      <c r="J352" s="49">
        <f>IF(A352="","",IF(H352&lt;=0,"Paid",IF(AND(I352&lt;TODAY(),I352&lt;&gt;""),"Overdue","Open")))</f>
        <v/>
      </c>
      <c r="K352" s="49" t="n"/>
    </row>
    <row r="353">
      <c r="A353" s="52" t="n"/>
      <c r="B353" s="49" t="n"/>
      <c r="C353" s="49" t="n"/>
      <c r="D353" s="49" t="n"/>
      <c r="E353" s="51" t="n"/>
      <c r="F353" s="51" t="n"/>
      <c r="G353" s="52" t="n"/>
      <c r="H353" s="51">
        <f>IFERROR(E353-F353,0)</f>
        <v/>
      </c>
      <c r="I353" s="52" t="n"/>
      <c r="J353" s="49">
        <f>IF(A353="","",IF(H353&lt;=0,"Paid",IF(AND(I353&lt;TODAY(),I353&lt;&gt;""),"Overdue","Open")))</f>
        <v/>
      </c>
      <c r="K353" s="49" t="n"/>
    </row>
    <row r="354">
      <c r="A354" s="52" t="n"/>
      <c r="B354" s="49" t="n"/>
      <c r="C354" s="49" t="n"/>
      <c r="D354" s="49" t="n"/>
      <c r="E354" s="51" t="n"/>
      <c r="F354" s="51" t="n"/>
      <c r="G354" s="52" t="n"/>
      <c r="H354" s="51">
        <f>IFERROR(E354-F354,0)</f>
        <v/>
      </c>
      <c r="I354" s="52" t="n"/>
      <c r="J354" s="49">
        <f>IF(A354="","",IF(H354&lt;=0,"Paid",IF(AND(I354&lt;TODAY(),I354&lt;&gt;""),"Overdue","Open")))</f>
        <v/>
      </c>
      <c r="K354" s="49" t="n"/>
    </row>
    <row r="355">
      <c r="A355" s="52" t="n"/>
      <c r="B355" s="49" t="n"/>
      <c r="C355" s="49" t="n"/>
      <c r="D355" s="49" t="n"/>
      <c r="E355" s="51" t="n"/>
      <c r="F355" s="51" t="n"/>
      <c r="G355" s="52" t="n"/>
      <c r="H355" s="51">
        <f>IFERROR(E355-F355,0)</f>
        <v/>
      </c>
      <c r="I355" s="52" t="n"/>
      <c r="J355" s="49">
        <f>IF(A355="","",IF(H355&lt;=0,"Paid",IF(AND(I355&lt;TODAY(),I355&lt;&gt;""),"Overdue","Open")))</f>
        <v/>
      </c>
      <c r="K355" s="49" t="n"/>
    </row>
    <row r="356">
      <c r="A356" s="52" t="n"/>
      <c r="B356" s="49" t="n"/>
      <c r="C356" s="49" t="n"/>
      <c r="D356" s="49" t="n"/>
      <c r="E356" s="51" t="n"/>
      <c r="F356" s="51" t="n"/>
      <c r="G356" s="52" t="n"/>
      <c r="H356" s="51">
        <f>IFERROR(E356-F356,0)</f>
        <v/>
      </c>
      <c r="I356" s="52" t="n"/>
      <c r="J356" s="49">
        <f>IF(A356="","",IF(H356&lt;=0,"Paid",IF(AND(I356&lt;TODAY(),I356&lt;&gt;""),"Overdue","Open")))</f>
        <v/>
      </c>
      <c r="K356" s="49" t="n"/>
    </row>
    <row r="357">
      <c r="A357" s="52" t="n"/>
      <c r="B357" s="49" t="n"/>
      <c r="C357" s="49" t="n"/>
      <c r="D357" s="49" t="n"/>
      <c r="E357" s="51" t="n"/>
      <c r="F357" s="51" t="n"/>
      <c r="G357" s="52" t="n"/>
      <c r="H357" s="51">
        <f>IFERROR(E357-F357,0)</f>
        <v/>
      </c>
      <c r="I357" s="52" t="n"/>
      <c r="J357" s="49">
        <f>IF(A357="","",IF(H357&lt;=0,"Paid",IF(AND(I357&lt;TODAY(),I357&lt;&gt;""),"Overdue","Open")))</f>
        <v/>
      </c>
      <c r="K357" s="49" t="n"/>
    </row>
    <row r="358">
      <c r="A358" s="52" t="n"/>
      <c r="B358" s="49" t="n"/>
      <c r="C358" s="49" t="n"/>
      <c r="D358" s="49" t="n"/>
      <c r="E358" s="51" t="n"/>
      <c r="F358" s="51" t="n"/>
      <c r="G358" s="52" t="n"/>
      <c r="H358" s="51">
        <f>IFERROR(E358-F358,0)</f>
        <v/>
      </c>
      <c r="I358" s="52" t="n"/>
      <c r="J358" s="49">
        <f>IF(A358="","",IF(H358&lt;=0,"Paid",IF(AND(I358&lt;TODAY(),I358&lt;&gt;""),"Overdue","Open")))</f>
        <v/>
      </c>
      <c r="K358" s="49" t="n"/>
    </row>
    <row r="359">
      <c r="A359" s="52" t="n"/>
      <c r="B359" s="49" t="n"/>
      <c r="C359" s="49" t="n"/>
      <c r="D359" s="49" t="n"/>
      <c r="E359" s="51" t="n"/>
      <c r="F359" s="51" t="n"/>
      <c r="G359" s="52" t="n"/>
      <c r="H359" s="51">
        <f>IFERROR(E359-F359,0)</f>
        <v/>
      </c>
      <c r="I359" s="52" t="n"/>
      <c r="J359" s="49">
        <f>IF(A359="","",IF(H359&lt;=0,"Paid",IF(AND(I359&lt;TODAY(),I359&lt;&gt;""),"Overdue","Open")))</f>
        <v/>
      </c>
      <c r="K359" s="49" t="n"/>
    </row>
    <row r="360">
      <c r="A360" s="52" t="n"/>
      <c r="B360" s="49" t="n"/>
      <c r="C360" s="49" t="n"/>
      <c r="D360" s="49" t="n"/>
      <c r="E360" s="51" t="n"/>
      <c r="F360" s="51" t="n"/>
      <c r="G360" s="52" t="n"/>
      <c r="H360" s="51">
        <f>IFERROR(E360-F360,0)</f>
        <v/>
      </c>
      <c r="I360" s="52" t="n"/>
      <c r="J360" s="49">
        <f>IF(A360="","",IF(H360&lt;=0,"Paid",IF(AND(I360&lt;TODAY(),I360&lt;&gt;""),"Overdue","Open")))</f>
        <v/>
      </c>
      <c r="K360" s="49" t="n"/>
    </row>
    <row r="361">
      <c r="A361" s="52" t="n"/>
      <c r="B361" s="49" t="n"/>
      <c r="C361" s="49" t="n"/>
      <c r="D361" s="49" t="n"/>
      <c r="E361" s="51" t="n"/>
      <c r="F361" s="51" t="n"/>
      <c r="G361" s="52" t="n"/>
      <c r="H361" s="51">
        <f>IFERROR(E361-F361,0)</f>
        <v/>
      </c>
      <c r="I361" s="52" t="n"/>
      <c r="J361" s="49">
        <f>IF(A361="","",IF(H361&lt;=0,"Paid",IF(AND(I361&lt;TODAY(),I361&lt;&gt;""),"Overdue","Open")))</f>
        <v/>
      </c>
      <c r="K361" s="49" t="n"/>
    </row>
    <row r="362">
      <c r="A362" s="52" t="n"/>
      <c r="B362" s="49" t="n"/>
      <c r="C362" s="49" t="n"/>
      <c r="D362" s="49" t="n"/>
      <c r="E362" s="51" t="n"/>
      <c r="F362" s="51" t="n"/>
      <c r="G362" s="52" t="n"/>
      <c r="H362" s="51">
        <f>IFERROR(E362-F362,0)</f>
        <v/>
      </c>
      <c r="I362" s="52" t="n"/>
      <c r="J362" s="49">
        <f>IF(A362="","",IF(H362&lt;=0,"Paid",IF(AND(I362&lt;TODAY(),I362&lt;&gt;""),"Overdue","Open")))</f>
        <v/>
      </c>
      <c r="K362" s="49" t="n"/>
    </row>
    <row r="363">
      <c r="A363" s="52" t="n"/>
      <c r="B363" s="49" t="n"/>
      <c r="C363" s="49" t="n"/>
      <c r="D363" s="49" t="n"/>
      <c r="E363" s="51" t="n"/>
      <c r="F363" s="51" t="n"/>
      <c r="G363" s="52" t="n"/>
      <c r="H363" s="51">
        <f>IFERROR(E363-F363,0)</f>
        <v/>
      </c>
      <c r="I363" s="52" t="n"/>
      <c r="J363" s="49">
        <f>IF(A363="","",IF(H363&lt;=0,"Paid",IF(AND(I363&lt;TODAY(),I363&lt;&gt;""),"Overdue","Open")))</f>
        <v/>
      </c>
      <c r="K363" s="49" t="n"/>
    </row>
    <row r="364">
      <c r="A364" s="52" t="n"/>
      <c r="B364" s="49" t="n"/>
      <c r="C364" s="49" t="n"/>
      <c r="D364" s="49" t="n"/>
      <c r="E364" s="51" t="n"/>
      <c r="F364" s="51" t="n"/>
      <c r="G364" s="52" t="n"/>
      <c r="H364" s="51">
        <f>IFERROR(E364-F364,0)</f>
        <v/>
      </c>
      <c r="I364" s="52" t="n"/>
      <c r="J364" s="49">
        <f>IF(A364="","",IF(H364&lt;=0,"Paid",IF(AND(I364&lt;TODAY(),I364&lt;&gt;""),"Overdue","Open")))</f>
        <v/>
      </c>
      <c r="K364" s="49" t="n"/>
    </row>
    <row r="365">
      <c r="A365" s="52" t="n"/>
      <c r="B365" s="49" t="n"/>
      <c r="C365" s="49" t="n"/>
      <c r="D365" s="49" t="n"/>
      <c r="E365" s="51" t="n"/>
      <c r="F365" s="51" t="n"/>
      <c r="G365" s="52" t="n"/>
      <c r="H365" s="51">
        <f>IFERROR(E365-F365,0)</f>
        <v/>
      </c>
      <c r="I365" s="52" t="n"/>
      <c r="J365" s="49">
        <f>IF(A365="","",IF(H365&lt;=0,"Paid",IF(AND(I365&lt;TODAY(),I365&lt;&gt;""),"Overdue","Open")))</f>
        <v/>
      </c>
      <c r="K365" s="49" t="n"/>
    </row>
    <row r="366">
      <c r="A366" s="52" t="n"/>
      <c r="B366" s="49" t="n"/>
      <c r="C366" s="49" t="n"/>
      <c r="D366" s="49" t="n"/>
      <c r="E366" s="51" t="n"/>
      <c r="F366" s="51" t="n"/>
      <c r="G366" s="52" t="n"/>
      <c r="H366" s="51">
        <f>IFERROR(E366-F366,0)</f>
        <v/>
      </c>
      <c r="I366" s="52" t="n"/>
      <c r="J366" s="49">
        <f>IF(A366="","",IF(H366&lt;=0,"Paid",IF(AND(I366&lt;TODAY(),I366&lt;&gt;""),"Overdue","Open")))</f>
        <v/>
      </c>
      <c r="K366" s="49" t="n"/>
    </row>
    <row r="367">
      <c r="A367" s="52" t="n"/>
      <c r="B367" s="49" t="n"/>
      <c r="C367" s="49" t="n"/>
      <c r="D367" s="49" t="n"/>
      <c r="E367" s="51" t="n"/>
      <c r="F367" s="51" t="n"/>
      <c r="G367" s="52" t="n"/>
      <c r="H367" s="51">
        <f>IFERROR(E367-F367,0)</f>
        <v/>
      </c>
      <c r="I367" s="52" t="n"/>
      <c r="J367" s="49">
        <f>IF(A367="","",IF(H367&lt;=0,"Paid",IF(AND(I367&lt;TODAY(),I367&lt;&gt;""),"Overdue","Open")))</f>
        <v/>
      </c>
      <c r="K367" s="49" t="n"/>
    </row>
    <row r="368">
      <c r="A368" s="52" t="n"/>
      <c r="B368" s="49" t="n"/>
      <c r="C368" s="49" t="n"/>
      <c r="D368" s="49" t="n"/>
      <c r="E368" s="51" t="n"/>
      <c r="F368" s="51" t="n"/>
      <c r="G368" s="52" t="n"/>
      <c r="H368" s="51">
        <f>IFERROR(E368-F368,0)</f>
        <v/>
      </c>
      <c r="I368" s="52" t="n"/>
      <c r="J368" s="49">
        <f>IF(A368="","",IF(H368&lt;=0,"Paid",IF(AND(I368&lt;TODAY(),I368&lt;&gt;""),"Overdue","Open")))</f>
        <v/>
      </c>
      <c r="K368" s="49" t="n"/>
    </row>
    <row r="369">
      <c r="A369" s="52" t="n"/>
      <c r="B369" s="49" t="n"/>
      <c r="C369" s="49" t="n"/>
      <c r="D369" s="49" t="n"/>
      <c r="E369" s="51" t="n"/>
      <c r="F369" s="51" t="n"/>
      <c r="G369" s="52" t="n"/>
      <c r="H369" s="51">
        <f>IFERROR(E369-F369,0)</f>
        <v/>
      </c>
      <c r="I369" s="52" t="n"/>
      <c r="J369" s="49">
        <f>IF(A369="","",IF(H369&lt;=0,"Paid",IF(AND(I369&lt;TODAY(),I369&lt;&gt;""),"Overdue","Open")))</f>
        <v/>
      </c>
      <c r="K369" s="49" t="n"/>
    </row>
    <row r="370">
      <c r="A370" s="52" t="n"/>
      <c r="B370" s="49" t="n"/>
      <c r="C370" s="49" t="n"/>
      <c r="D370" s="49" t="n"/>
      <c r="E370" s="51" t="n"/>
      <c r="F370" s="51" t="n"/>
      <c r="G370" s="52" t="n"/>
      <c r="H370" s="51">
        <f>IFERROR(E370-F370,0)</f>
        <v/>
      </c>
      <c r="I370" s="52" t="n"/>
      <c r="J370" s="49">
        <f>IF(A370="","",IF(H370&lt;=0,"Paid",IF(AND(I370&lt;TODAY(),I370&lt;&gt;""),"Overdue","Open")))</f>
        <v/>
      </c>
      <c r="K370" s="49" t="n"/>
    </row>
    <row r="371">
      <c r="A371" s="52" t="n"/>
      <c r="B371" s="49" t="n"/>
      <c r="C371" s="49" t="n"/>
      <c r="D371" s="49" t="n"/>
      <c r="E371" s="51" t="n"/>
      <c r="F371" s="51" t="n"/>
      <c r="G371" s="52" t="n"/>
      <c r="H371" s="51">
        <f>IFERROR(E371-F371,0)</f>
        <v/>
      </c>
      <c r="I371" s="52" t="n"/>
      <c r="J371" s="49">
        <f>IF(A371="","",IF(H371&lt;=0,"Paid",IF(AND(I371&lt;TODAY(),I371&lt;&gt;""),"Overdue","Open")))</f>
        <v/>
      </c>
      <c r="K371" s="49" t="n"/>
    </row>
    <row r="372">
      <c r="A372" s="52" t="n"/>
      <c r="B372" s="49" t="n"/>
      <c r="C372" s="49" t="n"/>
      <c r="D372" s="49" t="n"/>
      <c r="E372" s="51" t="n"/>
      <c r="F372" s="51" t="n"/>
      <c r="G372" s="52" t="n"/>
      <c r="H372" s="51">
        <f>IFERROR(E372-F372,0)</f>
        <v/>
      </c>
      <c r="I372" s="52" t="n"/>
      <c r="J372" s="49">
        <f>IF(A372="","",IF(H372&lt;=0,"Paid",IF(AND(I372&lt;TODAY(),I372&lt;&gt;""),"Overdue","Open")))</f>
        <v/>
      </c>
      <c r="K372" s="49" t="n"/>
    </row>
    <row r="373">
      <c r="A373" s="52" t="n"/>
      <c r="B373" s="49" t="n"/>
      <c r="C373" s="49" t="n"/>
      <c r="D373" s="49" t="n"/>
      <c r="E373" s="51" t="n"/>
      <c r="F373" s="51" t="n"/>
      <c r="G373" s="52" t="n"/>
      <c r="H373" s="51">
        <f>IFERROR(E373-F373,0)</f>
        <v/>
      </c>
      <c r="I373" s="52" t="n"/>
      <c r="J373" s="49">
        <f>IF(A373="","",IF(H373&lt;=0,"Paid",IF(AND(I373&lt;TODAY(),I373&lt;&gt;""),"Overdue","Open")))</f>
        <v/>
      </c>
      <c r="K373" s="49" t="n"/>
    </row>
    <row r="374">
      <c r="A374" s="52" t="n"/>
      <c r="B374" s="49" t="n"/>
      <c r="C374" s="49" t="n"/>
      <c r="D374" s="49" t="n"/>
      <c r="E374" s="51" t="n"/>
      <c r="F374" s="51" t="n"/>
      <c r="G374" s="52" t="n"/>
      <c r="H374" s="51">
        <f>IFERROR(E374-F374,0)</f>
        <v/>
      </c>
      <c r="I374" s="52" t="n"/>
      <c r="J374" s="49">
        <f>IF(A374="","",IF(H374&lt;=0,"Paid",IF(AND(I374&lt;TODAY(),I374&lt;&gt;""),"Overdue","Open")))</f>
        <v/>
      </c>
      <c r="K374" s="49" t="n"/>
    </row>
    <row r="375">
      <c r="A375" s="52" t="n"/>
      <c r="B375" s="49" t="n"/>
      <c r="C375" s="49" t="n"/>
      <c r="D375" s="49" t="n"/>
      <c r="E375" s="51" t="n"/>
      <c r="F375" s="51" t="n"/>
      <c r="G375" s="52" t="n"/>
      <c r="H375" s="51">
        <f>IFERROR(E375-F375,0)</f>
        <v/>
      </c>
      <c r="I375" s="52" t="n"/>
      <c r="J375" s="49">
        <f>IF(A375="","",IF(H375&lt;=0,"Paid",IF(AND(I375&lt;TODAY(),I375&lt;&gt;""),"Overdue","Open")))</f>
        <v/>
      </c>
      <c r="K375" s="49" t="n"/>
    </row>
    <row r="376">
      <c r="A376" s="52" t="n"/>
      <c r="B376" s="49" t="n"/>
      <c r="C376" s="49" t="n"/>
      <c r="D376" s="49" t="n"/>
      <c r="E376" s="51" t="n"/>
      <c r="F376" s="51" t="n"/>
      <c r="G376" s="52" t="n"/>
      <c r="H376" s="51">
        <f>IFERROR(E376-F376,0)</f>
        <v/>
      </c>
      <c r="I376" s="52" t="n"/>
      <c r="J376" s="49">
        <f>IF(A376="","",IF(H376&lt;=0,"Paid",IF(AND(I376&lt;TODAY(),I376&lt;&gt;""),"Overdue","Open")))</f>
        <v/>
      </c>
      <c r="K376" s="49" t="n"/>
    </row>
    <row r="377">
      <c r="A377" s="52" t="n"/>
      <c r="B377" s="49" t="n"/>
      <c r="C377" s="49" t="n"/>
      <c r="D377" s="49" t="n"/>
      <c r="E377" s="51" t="n"/>
      <c r="F377" s="51" t="n"/>
      <c r="G377" s="52" t="n"/>
      <c r="H377" s="51">
        <f>IFERROR(E377-F377,0)</f>
        <v/>
      </c>
      <c r="I377" s="52" t="n"/>
      <c r="J377" s="49">
        <f>IF(A377="","",IF(H377&lt;=0,"Paid",IF(AND(I377&lt;TODAY(),I377&lt;&gt;""),"Overdue","Open")))</f>
        <v/>
      </c>
      <c r="K377" s="49" t="n"/>
    </row>
    <row r="378">
      <c r="A378" s="52" t="n"/>
      <c r="B378" s="49" t="n"/>
      <c r="C378" s="49" t="n"/>
      <c r="D378" s="49" t="n"/>
      <c r="E378" s="51" t="n"/>
      <c r="F378" s="51" t="n"/>
      <c r="G378" s="52" t="n"/>
      <c r="H378" s="51">
        <f>IFERROR(E378-F378,0)</f>
        <v/>
      </c>
      <c r="I378" s="52" t="n"/>
      <c r="J378" s="49">
        <f>IF(A378="","",IF(H378&lt;=0,"Paid",IF(AND(I378&lt;TODAY(),I378&lt;&gt;""),"Overdue","Open")))</f>
        <v/>
      </c>
      <c r="K378" s="49" t="n"/>
    </row>
    <row r="379">
      <c r="A379" s="52" t="n"/>
      <c r="B379" s="49" t="n"/>
      <c r="C379" s="49" t="n"/>
      <c r="D379" s="49" t="n"/>
      <c r="E379" s="51" t="n"/>
      <c r="F379" s="51" t="n"/>
      <c r="G379" s="52" t="n"/>
      <c r="H379" s="51">
        <f>IFERROR(E379-F379,0)</f>
        <v/>
      </c>
      <c r="I379" s="52" t="n"/>
      <c r="J379" s="49">
        <f>IF(A379="","",IF(H379&lt;=0,"Paid",IF(AND(I379&lt;TODAY(),I379&lt;&gt;""),"Overdue","Open")))</f>
        <v/>
      </c>
      <c r="K379" s="49" t="n"/>
    </row>
    <row r="380">
      <c r="A380" s="52" t="n"/>
      <c r="B380" s="49" t="n"/>
      <c r="C380" s="49" t="n"/>
      <c r="D380" s="49" t="n"/>
      <c r="E380" s="51" t="n"/>
      <c r="F380" s="51" t="n"/>
      <c r="G380" s="52" t="n"/>
      <c r="H380" s="51">
        <f>IFERROR(E380-F380,0)</f>
        <v/>
      </c>
      <c r="I380" s="52" t="n"/>
      <c r="J380" s="49">
        <f>IF(A380="","",IF(H380&lt;=0,"Paid",IF(AND(I380&lt;TODAY(),I380&lt;&gt;""),"Overdue","Open")))</f>
        <v/>
      </c>
      <c r="K380" s="49" t="n"/>
    </row>
    <row r="381">
      <c r="A381" s="52" t="n"/>
      <c r="B381" s="49" t="n"/>
      <c r="C381" s="49" t="n"/>
      <c r="D381" s="49" t="n"/>
      <c r="E381" s="51" t="n"/>
      <c r="F381" s="51" t="n"/>
      <c r="G381" s="52" t="n"/>
      <c r="H381" s="51">
        <f>IFERROR(E381-F381,0)</f>
        <v/>
      </c>
      <c r="I381" s="52" t="n"/>
      <c r="J381" s="49">
        <f>IF(A381="","",IF(H381&lt;=0,"Paid",IF(AND(I381&lt;TODAY(),I381&lt;&gt;""),"Overdue","Open")))</f>
        <v/>
      </c>
      <c r="K381" s="49" t="n"/>
    </row>
    <row r="382">
      <c r="A382" s="52" t="n"/>
      <c r="B382" s="49" t="n"/>
      <c r="C382" s="49" t="n"/>
      <c r="D382" s="49" t="n"/>
      <c r="E382" s="51" t="n"/>
      <c r="F382" s="51" t="n"/>
      <c r="G382" s="52" t="n"/>
      <c r="H382" s="51">
        <f>IFERROR(E382-F382,0)</f>
        <v/>
      </c>
      <c r="I382" s="52" t="n"/>
      <c r="J382" s="49">
        <f>IF(A382="","",IF(H382&lt;=0,"Paid",IF(AND(I382&lt;TODAY(),I382&lt;&gt;""),"Overdue","Open")))</f>
        <v/>
      </c>
      <c r="K382" s="49" t="n"/>
    </row>
    <row r="383">
      <c r="A383" s="52" t="n"/>
      <c r="B383" s="49" t="n"/>
      <c r="C383" s="49" t="n"/>
      <c r="D383" s="49" t="n"/>
      <c r="E383" s="51" t="n"/>
      <c r="F383" s="51" t="n"/>
      <c r="G383" s="52" t="n"/>
      <c r="H383" s="51">
        <f>IFERROR(E383-F383,0)</f>
        <v/>
      </c>
      <c r="I383" s="52" t="n"/>
      <c r="J383" s="49">
        <f>IF(A383="","",IF(H383&lt;=0,"Paid",IF(AND(I383&lt;TODAY(),I383&lt;&gt;""),"Overdue","Open")))</f>
        <v/>
      </c>
      <c r="K383" s="49" t="n"/>
    </row>
    <row r="384">
      <c r="A384" s="52" t="n"/>
      <c r="B384" s="49" t="n"/>
      <c r="C384" s="49" t="n"/>
      <c r="D384" s="49" t="n"/>
      <c r="E384" s="51" t="n"/>
      <c r="F384" s="51" t="n"/>
      <c r="G384" s="52" t="n"/>
      <c r="H384" s="51">
        <f>IFERROR(E384-F384,0)</f>
        <v/>
      </c>
      <c r="I384" s="52" t="n"/>
      <c r="J384" s="49">
        <f>IF(A384="","",IF(H384&lt;=0,"Paid",IF(AND(I384&lt;TODAY(),I384&lt;&gt;""),"Overdue","Open")))</f>
        <v/>
      </c>
      <c r="K384" s="49" t="n"/>
    </row>
    <row r="385">
      <c r="A385" s="52" t="n"/>
      <c r="B385" s="49" t="n"/>
      <c r="C385" s="49" t="n"/>
      <c r="D385" s="49" t="n"/>
      <c r="E385" s="51" t="n"/>
      <c r="F385" s="51" t="n"/>
      <c r="G385" s="52" t="n"/>
      <c r="H385" s="51">
        <f>IFERROR(E385-F385,0)</f>
        <v/>
      </c>
      <c r="I385" s="52" t="n"/>
      <c r="J385" s="49">
        <f>IF(A385="","",IF(H385&lt;=0,"Paid",IF(AND(I385&lt;TODAY(),I385&lt;&gt;""),"Overdue","Open")))</f>
        <v/>
      </c>
      <c r="K385" s="49" t="n"/>
    </row>
    <row r="386">
      <c r="A386" s="52" t="n"/>
      <c r="B386" s="49" t="n"/>
      <c r="C386" s="49" t="n"/>
      <c r="D386" s="49" t="n"/>
      <c r="E386" s="51" t="n"/>
      <c r="F386" s="51" t="n"/>
      <c r="G386" s="52" t="n"/>
      <c r="H386" s="51">
        <f>IFERROR(E386-F386,0)</f>
        <v/>
      </c>
      <c r="I386" s="52" t="n"/>
      <c r="J386" s="49">
        <f>IF(A386="","",IF(H386&lt;=0,"Paid",IF(AND(I386&lt;TODAY(),I386&lt;&gt;""),"Overdue","Open")))</f>
        <v/>
      </c>
      <c r="K386" s="49" t="n"/>
    </row>
    <row r="387">
      <c r="A387" s="52" t="n"/>
      <c r="B387" s="49" t="n"/>
      <c r="C387" s="49" t="n"/>
      <c r="D387" s="49" t="n"/>
      <c r="E387" s="51" t="n"/>
      <c r="F387" s="51" t="n"/>
      <c r="G387" s="52" t="n"/>
      <c r="H387" s="51">
        <f>IFERROR(E387-F387,0)</f>
        <v/>
      </c>
      <c r="I387" s="52" t="n"/>
      <c r="J387" s="49">
        <f>IF(A387="","",IF(H387&lt;=0,"Paid",IF(AND(I387&lt;TODAY(),I387&lt;&gt;""),"Overdue","Open")))</f>
        <v/>
      </c>
      <c r="K387" s="49" t="n"/>
    </row>
    <row r="388">
      <c r="A388" s="52" t="n"/>
      <c r="B388" s="49" t="n"/>
      <c r="C388" s="49" t="n"/>
      <c r="D388" s="49" t="n"/>
      <c r="E388" s="51" t="n"/>
      <c r="F388" s="51" t="n"/>
      <c r="G388" s="52" t="n"/>
      <c r="H388" s="51">
        <f>IFERROR(E388-F388,0)</f>
        <v/>
      </c>
      <c r="I388" s="52" t="n"/>
      <c r="J388" s="49">
        <f>IF(A388="","",IF(H388&lt;=0,"Paid",IF(AND(I388&lt;TODAY(),I388&lt;&gt;""),"Overdue","Open")))</f>
        <v/>
      </c>
      <c r="K388" s="49" t="n"/>
    </row>
    <row r="389">
      <c r="A389" s="52" t="n"/>
      <c r="B389" s="49" t="n"/>
      <c r="C389" s="49" t="n"/>
      <c r="D389" s="49" t="n"/>
      <c r="E389" s="51" t="n"/>
      <c r="F389" s="51" t="n"/>
      <c r="G389" s="52" t="n"/>
      <c r="H389" s="51">
        <f>IFERROR(E389-F389,0)</f>
        <v/>
      </c>
      <c r="I389" s="52" t="n"/>
      <c r="J389" s="49">
        <f>IF(A389="","",IF(H389&lt;=0,"Paid",IF(AND(I389&lt;TODAY(),I389&lt;&gt;""),"Overdue","Open")))</f>
        <v/>
      </c>
      <c r="K389" s="49" t="n"/>
    </row>
    <row r="390">
      <c r="A390" s="52" t="n"/>
      <c r="B390" s="49" t="n"/>
      <c r="C390" s="49" t="n"/>
      <c r="D390" s="49" t="n"/>
      <c r="E390" s="51" t="n"/>
      <c r="F390" s="51" t="n"/>
      <c r="G390" s="52" t="n"/>
      <c r="H390" s="51">
        <f>IFERROR(E390-F390,0)</f>
        <v/>
      </c>
      <c r="I390" s="52" t="n"/>
      <c r="J390" s="49">
        <f>IF(A390="","",IF(H390&lt;=0,"Paid",IF(AND(I390&lt;TODAY(),I390&lt;&gt;""),"Overdue","Open")))</f>
        <v/>
      </c>
      <c r="K390" s="49" t="n"/>
    </row>
    <row r="391">
      <c r="A391" s="52" t="n"/>
      <c r="B391" s="49" t="n"/>
      <c r="C391" s="49" t="n"/>
      <c r="D391" s="49" t="n"/>
      <c r="E391" s="51" t="n"/>
      <c r="F391" s="51" t="n"/>
      <c r="G391" s="52" t="n"/>
      <c r="H391" s="51">
        <f>IFERROR(E391-F391,0)</f>
        <v/>
      </c>
      <c r="I391" s="52" t="n"/>
      <c r="J391" s="49">
        <f>IF(A391="","",IF(H391&lt;=0,"Paid",IF(AND(I391&lt;TODAY(),I391&lt;&gt;""),"Overdue","Open")))</f>
        <v/>
      </c>
      <c r="K391" s="49" t="n"/>
    </row>
    <row r="392">
      <c r="A392" s="52" t="n"/>
      <c r="B392" s="49" t="n"/>
      <c r="C392" s="49" t="n"/>
      <c r="D392" s="49" t="n"/>
      <c r="E392" s="51" t="n"/>
      <c r="F392" s="51" t="n"/>
      <c r="G392" s="52" t="n"/>
      <c r="H392" s="51">
        <f>IFERROR(E392-F392,0)</f>
        <v/>
      </c>
      <c r="I392" s="52" t="n"/>
      <c r="J392" s="49">
        <f>IF(A392="","",IF(H392&lt;=0,"Paid",IF(AND(I392&lt;TODAY(),I392&lt;&gt;""),"Overdue","Open")))</f>
        <v/>
      </c>
      <c r="K392" s="49" t="n"/>
    </row>
    <row r="393">
      <c r="A393" s="52" t="n"/>
      <c r="B393" s="49" t="n"/>
      <c r="C393" s="49" t="n"/>
      <c r="D393" s="49" t="n"/>
      <c r="E393" s="51" t="n"/>
      <c r="F393" s="51" t="n"/>
      <c r="G393" s="52" t="n"/>
      <c r="H393" s="51">
        <f>IFERROR(E393-F393,0)</f>
        <v/>
      </c>
      <c r="I393" s="52" t="n"/>
      <c r="J393" s="49">
        <f>IF(A393="","",IF(H393&lt;=0,"Paid",IF(AND(I393&lt;TODAY(),I393&lt;&gt;""),"Overdue","Open")))</f>
        <v/>
      </c>
      <c r="K393" s="49" t="n"/>
    </row>
    <row r="394">
      <c r="A394" s="52" t="n"/>
      <c r="B394" s="49" t="n"/>
      <c r="C394" s="49" t="n"/>
      <c r="D394" s="49" t="n"/>
      <c r="E394" s="51" t="n"/>
      <c r="F394" s="51" t="n"/>
      <c r="G394" s="52" t="n"/>
      <c r="H394" s="51">
        <f>IFERROR(E394-F394,0)</f>
        <v/>
      </c>
      <c r="I394" s="52" t="n"/>
      <c r="J394" s="49">
        <f>IF(A394="","",IF(H394&lt;=0,"Paid",IF(AND(I394&lt;TODAY(),I394&lt;&gt;""),"Overdue","Open")))</f>
        <v/>
      </c>
      <c r="K394" s="49" t="n"/>
    </row>
    <row r="395">
      <c r="A395" s="52" t="n"/>
      <c r="B395" s="49" t="n"/>
      <c r="C395" s="49" t="n"/>
      <c r="D395" s="49" t="n"/>
      <c r="E395" s="51" t="n"/>
      <c r="F395" s="51" t="n"/>
      <c r="G395" s="52" t="n"/>
      <c r="H395" s="51">
        <f>IFERROR(E395-F395,0)</f>
        <v/>
      </c>
      <c r="I395" s="52" t="n"/>
      <c r="J395" s="49">
        <f>IF(A395="","",IF(H395&lt;=0,"Paid",IF(AND(I395&lt;TODAY(),I395&lt;&gt;""),"Overdue","Open")))</f>
        <v/>
      </c>
      <c r="K395" s="49" t="n"/>
    </row>
    <row r="396">
      <c r="A396" s="52" t="n"/>
      <c r="B396" s="49" t="n"/>
      <c r="C396" s="49" t="n"/>
      <c r="D396" s="49" t="n"/>
      <c r="E396" s="51" t="n"/>
      <c r="F396" s="51" t="n"/>
      <c r="G396" s="52" t="n"/>
      <c r="H396" s="51">
        <f>IFERROR(E396-F396,0)</f>
        <v/>
      </c>
      <c r="I396" s="52" t="n"/>
      <c r="J396" s="49">
        <f>IF(A396="","",IF(H396&lt;=0,"Paid",IF(AND(I396&lt;TODAY(),I396&lt;&gt;""),"Overdue","Open")))</f>
        <v/>
      </c>
      <c r="K396" s="49" t="n"/>
    </row>
    <row r="397">
      <c r="A397" s="52" t="n"/>
      <c r="B397" s="49" t="n"/>
      <c r="C397" s="49" t="n"/>
      <c r="D397" s="49" t="n"/>
      <c r="E397" s="51" t="n"/>
      <c r="F397" s="51" t="n"/>
      <c r="G397" s="52" t="n"/>
      <c r="H397" s="51">
        <f>IFERROR(E397-F397,0)</f>
        <v/>
      </c>
      <c r="I397" s="52" t="n"/>
      <c r="J397" s="49">
        <f>IF(A397="","",IF(H397&lt;=0,"Paid",IF(AND(I397&lt;TODAY(),I397&lt;&gt;""),"Overdue","Open")))</f>
        <v/>
      </c>
      <c r="K397" s="49" t="n"/>
    </row>
    <row r="398">
      <c r="A398" s="52" t="n"/>
      <c r="B398" s="49" t="n"/>
      <c r="C398" s="49" t="n"/>
      <c r="D398" s="49" t="n"/>
      <c r="E398" s="51" t="n"/>
      <c r="F398" s="51" t="n"/>
      <c r="G398" s="52" t="n"/>
      <c r="H398" s="51">
        <f>IFERROR(E398-F398,0)</f>
        <v/>
      </c>
      <c r="I398" s="52" t="n"/>
      <c r="J398" s="49">
        <f>IF(A398="","",IF(H398&lt;=0,"Paid",IF(AND(I398&lt;TODAY(),I398&lt;&gt;""),"Overdue","Open")))</f>
        <v/>
      </c>
      <c r="K398" s="49" t="n"/>
    </row>
    <row r="399">
      <c r="A399" s="52" t="n"/>
      <c r="B399" s="49" t="n"/>
      <c r="C399" s="49" t="n"/>
      <c r="D399" s="49" t="n"/>
      <c r="E399" s="51" t="n"/>
      <c r="F399" s="51" t="n"/>
      <c r="G399" s="52" t="n"/>
      <c r="H399" s="51">
        <f>IFERROR(E399-F399,0)</f>
        <v/>
      </c>
      <c r="I399" s="52" t="n"/>
      <c r="J399" s="49">
        <f>IF(A399="","",IF(H399&lt;=0,"Paid",IF(AND(I399&lt;TODAY(),I399&lt;&gt;""),"Overdue","Open")))</f>
        <v/>
      </c>
      <c r="K399" s="49" t="n"/>
    </row>
    <row r="400">
      <c r="A400" s="52" t="n"/>
      <c r="B400" s="49" t="n"/>
      <c r="C400" s="49" t="n"/>
      <c r="D400" s="49" t="n"/>
      <c r="E400" s="51" t="n"/>
      <c r="F400" s="51" t="n"/>
      <c r="G400" s="52" t="n"/>
      <c r="H400" s="51">
        <f>IFERROR(E400-F400,0)</f>
        <v/>
      </c>
      <c r="I400" s="52" t="n"/>
      <c r="J400" s="49">
        <f>IF(A400="","",IF(H400&lt;=0,"Paid",IF(AND(I400&lt;TODAY(),I400&lt;&gt;""),"Overdue","Open")))</f>
        <v/>
      </c>
      <c r="K400" s="49" t="n"/>
    </row>
    <row r="401">
      <c r="A401" s="52" t="n"/>
      <c r="B401" s="49" t="n"/>
      <c r="C401" s="49" t="n"/>
      <c r="D401" s="49" t="n"/>
      <c r="E401" s="51" t="n"/>
      <c r="F401" s="51" t="n"/>
      <c r="G401" s="52" t="n"/>
      <c r="H401" s="51">
        <f>IFERROR(E401-F401,0)</f>
        <v/>
      </c>
      <c r="I401" s="52" t="n"/>
      <c r="J401" s="49">
        <f>IF(A401="","",IF(H401&lt;=0,"Paid",IF(AND(I401&lt;TODAY(),I401&lt;&gt;""),"Overdue","Open")))</f>
        <v/>
      </c>
      <c r="K401" s="49" t="n"/>
    </row>
    <row r="402">
      <c r="A402" s="52" t="n"/>
      <c r="B402" s="49" t="n"/>
      <c r="C402" s="49" t="n"/>
      <c r="D402" s="49" t="n"/>
      <c r="E402" s="51" t="n"/>
      <c r="F402" s="51" t="n"/>
      <c r="G402" s="52" t="n"/>
      <c r="H402" s="51">
        <f>IFERROR(E402-F402,0)</f>
        <v/>
      </c>
      <c r="I402" s="52" t="n"/>
      <c r="J402" s="49">
        <f>IF(A402="","",IF(H402&lt;=0,"Paid",IF(AND(I402&lt;TODAY(),I402&lt;&gt;""),"Overdue","Open")))</f>
        <v/>
      </c>
      <c r="K402" s="49" t="n"/>
    </row>
    <row r="403">
      <c r="A403" s="52" t="n"/>
      <c r="B403" s="49" t="n"/>
      <c r="C403" s="49" t="n"/>
      <c r="D403" s="49" t="n"/>
      <c r="E403" s="51" t="n"/>
      <c r="F403" s="51" t="n"/>
      <c r="G403" s="52" t="n"/>
      <c r="H403" s="51">
        <f>IFERROR(E403-F403,0)</f>
        <v/>
      </c>
      <c r="I403" s="52" t="n"/>
      <c r="J403" s="49">
        <f>IF(A403="","",IF(H403&lt;=0,"Paid",IF(AND(I403&lt;TODAY(),I403&lt;&gt;""),"Overdue","Open")))</f>
        <v/>
      </c>
      <c r="K403" s="49" t="n"/>
    </row>
    <row r="404">
      <c r="A404" s="52" t="n"/>
      <c r="B404" s="49" t="n"/>
      <c r="C404" s="49" t="n"/>
      <c r="D404" s="49" t="n"/>
      <c r="E404" s="51" t="n"/>
      <c r="F404" s="51" t="n"/>
      <c r="G404" s="52" t="n"/>
      <c r="H404" s="51">
        <f>IFERROR(E404-F404,0)</f>
        <v/>
      </c>
      <c r="I404" s="52" t="n"/>
      <c r="J404" s="49">
        <f>IF(A404="","",IF(H404&lt;=0,"Paid",IF(AND(I404&lt;TODAY(),I404&lt;&gt;""),"Overdue","Open")))</f>
        <v/>
      </c>
      <c r="K404" s="49" t="n"/>
    </row>
    <row r="405">
      <c r="A405" s="52" t="n"/>
      <c r="B405" s="49" t="n"/>
      <c r="C405" s="49" t="n"/>
      <c r="D405" s="49" t="n"/>
      <c r="E405" s="51" t="n"/>
      <c r="F405" s="51" t="n"/>
      <c r="G405" s="52" t="n"/>
      <c r="H405" s="51">
        <f>IFERROR(E405-F405,0)</f>
        <v/>
      </c>
      <c r="I405" s="52" t="n"/>
      <c r="J405" s="49">
        <f>IF(A405="","",IF(H405&lt;=0,"Paid",IF(AND(I405&lt;TODAY(),I405&lt;&gt;""),"Overdue","Open")))</f>
        <v/>
      </c>
      <c r="K405" s="49" t="n"/>
    </row>
    <row r="406">
      <c r="A406" s="52" t="n"/>
      <c r="B406" s="49" t="n"/>
      <c r="C406" s="49" t="n"/>
      <c r="D406" s="49" t="n"/>
      <c r="E406" s="51" t="n"/>
      <c r="F406" s="51" t="n"/>
      <c r="G406" s="52" t="n"/>
      <c r="H406" s="51">
        <f>IFERROR(E406-F406,0)</f>
        <v/>
      </c>
      <c r="I406" s="52" t="n"/>
      <c r="J406" s="49">
        <f>IF(A406="","",IF(H406&lt;=0,"Paid",IF(AND(I406&lt;TODAY(),I406&lt;&gt;""),"Overdue","Open")))</f>
        <v/>
      </c>
      <c r="K406" s="49" t="n"/>
    </row>
    <row r="407">
      <c r="A407" s="52" t="n"/>
      <c r="B407" s="49" t="n"/>
      <c r="C407" s="49" t="n"/>
      <c r="D407" s="49" t="n"/>
      <c r="E407" s="51" t="n"/>
      <c r="F407" s="51" t="n"/>
      <c r="G407" s="52" t="n"/>
      <c r="H407" s="51">
        <f>IFERROR(E407-F407,0)</f>
        <v/>
      </c>
      <c r="I407" s="52" t="n"/>
      <c r="J407" s="49">
        <f>IF(A407="","",IF(H407&lt;=0,"Paid",IF(AND(I407&lt;TODAY(),I407&lt;&gt;""),"Overdue","Open")))</f>
        <v/>
      </c>
      <c r="K407" s="49" t="n"/>
    </row>
    <row r="408">
      <c r="A408" s="52" t="n"/>
      <c r="B408" s="49" t="n"/>
      <c r="C408" s="49" t="n"/>
      <c r="D408" s="49" t="n"/>
      <c r="E408" s="51" t="n"/>
      <c r="F408" s="51" t="n"/>
      <c r="G408" s="52" t="n"/>
      <c r="H408" s="51">
        <f>IFERROR(E408-F408,0)</f>
        <v/>
      </c>
      <c r="I408" s="52" t="n"/>
      <c r="J408" s="49">
        <f>IF(A408="","",IF(H408&lt;=0,"Paid",IF(AND(I408&lt;TODAY(),I408&lt;&gt;""),"Overdue","Open")))</f>
        <v/>
      </c>
      <c r="K408" s="49" t="n"/>
    </row>
    <row r="409">
      <c r="A409" s="52" t="n"/>
      <c r="B409" s="49" t="n"/>
      <c r="C409" s="49" t="n"/>
      <c r="D409" s="49" t="n"/>
      <c r="E409" s="51" t="n"/>
      <c r="F409" s="51" t="n"/>
      <c r="G409" s="52" t="n"/>
      <c r="H409" s="51">
        <f>IFERROR(E409-F409,0)</f>
        <v/>
      </c>
      <c r="I409" s="52" t="n"/>
      <c r="J409" s="49">
        <f>IF(A409="","",IF(H409&lt;=0,"Paid",IF(AND(I409&lt;TODAY(),I409&lt;&gt;""),"Overdue","Open")))</f>
        <v/>
      </c>
      <c r="K409" s="49" t="n"/>
    </row>
    <row r="410">
      <c r="A410" s="52" t="n"/>
      <c r="B410" s="49" t="n"/>
      <c r="C410" s="49" t="n"/>
      <c r="D410" s="49" t="n"/>
      <c r="E410" s="51" t="n"/>
      <c r="F410" s="51" t="n"/>
      <c r="G410" s="52" t="n"/>
      <c r="H410" s="51">
        <f>IFERROR(E410-F410,0)</f>
        <v/>
      </c>
      <c r="I410" s="52" t="n"/>
      <c r="J410" s="49">
        <f>IF(A410="","",IF(H410&lt;=0,"Paid",IF(AND(I410&lt;TODAY(),I410&lt;&gt;""),"Overdue","Open")))</f>
        <v/>
      </c>
      <c r="K410" s="49" t="n"/>
    </row>
    <row r="411">
      <c r="A411" s="52" t="n"/>
      <c r="B411" s="49" t="n"/>
      <c r="C411" s="49" t="n"/>
      <c r="D411" s="49" t="n"/>
      <c r="E411" s="51" t="n"/>
      <c r="F411" s="51" t="n"/>
      <c r="G411" s="52" t="n"/>
      <c r="H411" s="51">
        <f>IFERROR(E411-F411,0)</f>
        <v/>
      </c>
      <c r="I411" s="52" t="n"/>
      <c r="J411" s="49">
        <f>IF(A411="","",IF(H411&lt;=0,"Paid",IF(AND(I411&lt;TODAY(),I411&lt;&gt;""),"Overdue","Open")))</f>
        <v/>
      </c>
      <c r="K411" s="49" t="n"/>
    </row>
    <row r="412">
      <c r="A412" s="52" t="n"/>
      <c r="B412" s="49" t="n"/>
      <c r="C412" s="49" t="n"/>
      <c r="D412" s="49" t="n"/>
      <c r="E412" s="51" t="n"/>
      <c r="F412" s="51" t="n"/>
      <c r="G412" s="52" t="n"/>
      <c r="H412" s="51">
        <f>IFERROR(E412-F412,0)</f>
        <v/>
      </c>
      <c r="I412" s="52" t="n"/>
      <c r="J412" s="49">
        <f>IF(A412="","",IF(H412&lt;=0,"Paid",IF(AND(I412&lt;TODAY(),I412&lt;&gt;""),"Overdue","Open")))</f>
        <v/>
      </c>
      <c r="K412" s="49" t="n"/>
    </row>
    <row r="413">
      <c r="A413" s="52" t="n"/>
      <c r="B413" s="49" t="n"/>
      <c r="C413" s="49" t="n"/>
      <c r="D413" s="49" t="n"/>
      <c r="E413" s="51" t="n"/>
      <c r="F413" s="51" t="n"/>
      <c r="G413" s="52" t="n"/>
      <c r="H413" s="51">
        <f>IFERROR(E413-F413,0)</f>
        <v/>
      </c>
      <c r="I413" s="52" t="n"/>
      <c r="J413" s="49">
        <f>IF(A413="","",IF(H413&lt;=0,"Paid",IF(AND(I413&lt;TODAY(),I413&lt;&gt;""),"Overdue","Open")))</f>
        <v/>
      </c>
      <c r="K413" s="49" t="n"/>
    </row>
    <row r="414">
      <c r="A414" s="52" t="n"/>
      <c r="B414" s="49" t="n"/>
      <c r="C414" s="49" t="n"/>
      <c r="D414" s="49" t="n"/>
      <c r="E414" s="51" t="n"/>
      <c r="F414" s="51" t="n"/>
      <c r="G414" s="52" t="n"/>
      <c r="H414" s="51">
        <f>IFERROR(E414-F414,0)</f>
        <v/>
      </c>
      <c r="I414" s="52" t="n"/>
      <c r="J414" s="49">
        <f>IF(A414="","",IF(H414&lt;=0,"Paid",IF(AND(I414&lt;TODAY(),I414&lt;&gt;""),"Overdue","Open")))</f>
        <v/>
      </c>
      <c r="K414" s="49" t="n"/>
    </row>
    <row r="415">
      <c r="A415" s="52" t="n"/>
      <c r="B415" s="49" t="n"/>
      <c r="C415" s="49" t="n"/>
      <c r="D415" s="49" t="n"/>
      <c r="E415" s="51" t="n"/>
      <c r="F415" s="51" t="n"/>
      <c r="G415" s="52" t="n"/>
      <c r="H415" s="51">
        <f>IFERROR(E415-F415,0)</f>
        <v/>
      </c>
      <c r="I415" s="52" t="n"/>
      <c r="J415" s="49">
        <f>IF(A415="","",IF(H415&lt;=0,"Paid",IF(AND(I415&lt;TODAY(),I415&lt;&gt;""),"Overdue","Open")))</f>
        <v/>
      </c>
      <c r="K415" s="49" t="n"/>
    </row>
    <row r="416">
      <c r="A416" s="52" t="n"/>
      <c r="B416" s="49" t="n"/>
      <c r="C416" s="49" t="n"/>
      <c r="D416" s="49" t="n"/>
      <c r="E416" s="51" t="n"/>
      <c r="F416" s="51" t="n"/>
      <c r="G416" s="52" t="n"/>
      <c r="H416" s="51">
        <f>IFERROR(E416-F416,0)</f>
        <v/>
      </c>
      <c r="I416" s="52" t="n"/>
      <c r="J416" s="49">
        <f>IF(A416="","",IF(H416&lt;=0,"Paid",IF(AND(I416&lt;TODAY(),I416&lt;&gt;""),"Overdue","Open")))</f>
        <v/>
      </c>
      <c r="K416" s="49" t="n"/>
    </row>
    <row r="417">
      <c r="A417" s="52" t="n"/>
      <c r="B417" s="49" t="n"/>
      <c r="C417" s="49" t="n"/>
      <c r="D417" s="49" t="n"/>
      <c r="E417" s="51" t="n"/>
      <c r="F417" s="51" t="n"/>
      <c r="G417" s="52" t="n"/>
      <c r="H417" s="51">
        <f>IFERROR(E417-F417,0)</f>
        <v/>
      </c>
      <c r="I417" s="52" t="n"/>
      <c r="J417" s="49">
        <f>IF(A417="","",IF(H417&lt;=0,"Paid",IF(AND(I417&lt;TODAY(),I417&lt;&gt;""),"Overdue","Open")))</f>
        <v/>
      </c>
      <c r="K417" s="49" t="n"/>
    </row>
    <row r="418">
      <c r="A418" s="52" t="n"/>
      <c r="B418" s="49" t="n"/>
      <c r="C418" s="49" t="n"/>
      <c r="D418" s="49" t="n"/>
      <c r="E418" s="51" t="n"/>
      <c r="F418" s="51" t="n"/>
      <c r="G418" s="52" t="n"/>
      <c r="H418" s="51">
        <f>IFERROR(E418-F418,0)</f>
        <v/>
      </c>
      <c r="I418" s="52" t="n"/>
      <c r="J418" s="49">
        <f>IF(A418="","",IF(H418&lt;=0,"Paid",IF(AND(I418&lt;TODAY(),I418&lt;&gt;""),"Overdue","Open")))</f>
        <v/>
      </c>
      <c r="K418" s="49" t="n"/>
    </row>
    <row r="419">
      <c r="A419" s="52" t="n"/>
      <c r="B419" s="49" t="n"/>
      <c r="C419" s="49" t="n"/>
      <c r="D419" s="49" t="n"/>
      <c r="E419" s="51" t="n"/>
      <c r="F419" s="51" t="n"/>
      <c r="G419" s="52" t="n"/>
      <c r="H419" s="51">
        <f>IFERROR(E419-F419,0)</f>
        <v/>
      </c>
      <c r="I419" s="52" t="n"/>
      <c r="J419" s="49">
        <f>IF(A419="","",IF(H419&lt;=0,"Paid",IF(AND(I419&lt;TODAY(),I419&lt;&gt;""),"Overdue","Open")))</f>
        <v/>
      </c>
      <c r="K419" s="49" t="n"/>
    </row>
    <row r="420">
      <c r="A420" s="52" t="n"/>
      <c r="B420" s="49" t="n"/>
      <c r="C420" s="49" t="n"/>
      <c r="D420" s="49" t="n"/>
      <c r="E420" s="51" t="n"/>
      <c r="F420" s="51" t="n"/>
      <c r="G420" s="52" t="n"/>
      <c r="H420" s="51">
        <f>IFERROR(E420-F420,0)</f>
        <v/>
      </c>
      <c r="I420" s="52" t="n"/>
      <c r="J420" s="49">
        <f>IF(A420="","",IF(H420&lt;=0,"Paid",IF(AND(I420&lt;TODAY(),I420&lt;&gt;""),"Overdue","Open")))</f>
        <v/>
      </c>
      <c r="K420" s="49" t="n"/>
    </row>
    <row r="421">
      <c r="A421" s="52" t="n"/>
      <c r="B421" s="49" t="n"/>
      <c r="C421" s="49" t="n"/>
      <c r="D421" s="49" t="n"/>
      <c r="E421" s="51" t="n"/>
      <c r="F421" s="51" t="n"/>
      <c r="G421" s="52" t="n"/>
      <c r="H421" s="51">
        <f>IFERROR(E421-F421,0)</f>
        <v/>
      </c>
      <c r="I421" s="52" t="n"/>
      <c r="J421" s="49">
        <f>IF(A421="","",IF(H421&lt;=0,"Paid",IF(AND(I421&lt;TODAY(),I421&lt;&gt;""),"Overdue","Open")))</f>
        <v/>
      </c>
      <c r="K421" s="49" t="n"/>
    </row>
    <row r="422">
      <c r="A422" s="52" t="n"/>
      <c r="B422" s="49" t="n"/>
      <c r="C422" s="49" t="n"/>
      <c r="D422" s="49" t="n"/>
      <c r="E422" s="51" t="n"/>
      <c r="F422" s="51" t="n"/>
      <c r="G422" s="52" t="n"/>
      <c r="H422" s="51">
        <f>IFERROR(E422-F422,0)</f>
        <v/>
      </c>
      <c r="I422" s="52" t="n"/>
      <c r="J422" s="49">
        <f>IF(A422="","",IF(H422&lt;=0,"Paid",IF(AND(I422&lt;TODAY(),I422&lt;&gt;""),"Overdue","Open")))</f>
        <v/>
      </c>
      <c r="K422" s="49" t="n"/>
    </row>
    <row r="423">
      <c r="A423" s="52" t="n"/>
      <c r="B423" s="49" t="n"/>
      <c r="C423" s="49" t="n"/>
      <c r="D423" s="49" t="n"/>
      <c r="E423" s="51" t="n"/>
      <c r="F423" s="51" t="n"/>
      <c r="G423" s="52" t="n"/>
      <c r="H423" s="51">
        <f>IFERROR(E423-F423,0)</f>
        <v/>
      </c>
      <c r="I423" s="52" t="n"/>
      <c r="J423" s="49">
        <f>IF(A423="","",IF(H423&lt;=0,"Paid",IF(AND(I423&lt;TODAY(),I423&lt;&gt;""),"Overdue","Open")))</f>
        <v/>
      </c>
      <c r="K423" s="49" t="n"/>
    </row>
    <row r="424">
      <c r="A424" s="52" t="n"/>
      <c r="B424" s="49" t="n"/>
      <c r="C424" s="49" t="n"/>
      <c r="D424" s="49" t="n"/>
      <c r="E424" s="51" t="n"/>
      <c r="F424" s="51" t="n"/>
      <c r="G424" s="52" t="n"/>
      <c r="H424" s="51">
        <f>IFERROR(E424-F424,0)</f>
        <v/>
      </c>
      <c r="I424" s="52" t="n"/>
      <c r="J424" s="49">
        <f>IF(A424="","",IF(H424&lt;=0,"Paid",IF(AND(I424&lt;TODAY(),I424&lt;&gt;""),"Overdue","Open")))</f>
        <v/>
      </c>
      <c r="K424" s="49" t="n"/>
    </row>
    <row r="425">
      <c r="A425" s="52" t="n"/>
      <c r="B425" s="49" t="n"/>
      <c r="C425" s="49" t="n"/>
      <c r="D425" s="49" t="n"/>
      <c r="E425" s="51" t="n"/>
      <c r="F425" s="51" t="n"/>
      <c r="G425" s="52" t="n"/>
      <c r="H425" s="51">
        <f>IFERROR(E425-F425,0)</f>
        <v/>
      </c>
      <c r="I425" s="52" t="n"/>
      <c r="J425" s="49">
        <f>IF(A425="","",IF(H425&lt;=0,"Paid",IF(AND(I425&lt;TODAY(),I425&lt;&gt;""),"Overdue","Open")))</f>
        <v/>
      </c>
      <c r="K425" s="49" t="n"/>
    </row>
    <row r="426">
      <c r="A426" s="52" t="n"/>
      <c r="B426" s="49" t="n"/>
      <c r="C426" s="49" t="n"/>
      <c r="D426" s="49" t="n"/>
      <c r="E426" s="51" t="n"/>
      <c r="F426" s="51" t="n"/>
      <c r="G426" s="52" t="n"/>
      <c r="H426" s="51">
        <f>IFERROR(E426-F426,0)</f>
        <v/>
      </c>
      <c r="I426" s="52" t="n"/>
      <c r="J426" s="49">
        <f>IF(A426="","",IF(H426&lt;=0,"Paid",IF(AND(I426&lt;TODAY(),I426&lt;&gt;""),"Overdue","Open")))</f>
        <v/>
      </c>
      <c r="K426" s="49" t="n"/>
    </row>
    <row r="427">
      <c r="A427" s="52" t="n"/>
      <c r="B427" s="49" t="n"/>
      <c r="C427" s="49" t="n"/>
      <c r="D427" s="49" t="n"/>
      <c r="E427" s="51" t="n"/>
      <c r="F427" s="51" t="n"/>
      <c r="G427" s="52" t="n"/>
      <c r="H427" s="51">
        <f>IFERROR(E427-F427,0)</f>
        <v/>
      </c>
      <c r="I427" s="52" t="n"/>
      <c r="J427" s="49">
        <f>IF(A427="","",IF(H427&lt;=0,"Paid",IF(AND(I427&lt;TODAY(),I427&lt;&gt;""),"Overdue","Open")))</f>
        <v/>
      </c>
      <c r="K427" s="49" t="n"/>
    </row>
    <row r="428">
      <c r="A428" s="52" t="n"/>
      <c r="B428" s="49" t="n"/>
      <c r="C428" s="49" t="n"/>
      <c r="D428" s="49" t="n"/>
      <c r="E428" s="51" t="n"/>
      <c r="F428" s="51" t="n"/>
      <c r="G428" s="52" t="n"/>
      <c r="H428" s="51">
        <f>IFERROR(E428-F428,0)</f>
        <v/>
      </c>
      <c r="I428" s="52" t="n"/>
      <c r="J428" s="49">
        <f>IF(A428="","",IF(H428&lt;=0,"Paid",IF(AND(I428&lt;TODAY(),I428&lt;&gt;""),"Overdue","Open")))</f>
        <v/>
      </c>
      <c r="K428" s="49" t="n"/>
    </row>
    <row r="429">
      <c r="A429" s="52" t="n"/>
      <c r="B429" s="49" t="n"/>
      <c r="C429" s="49" t="n"/>
      <c r="D429" s="49" t="n"/>
      <c r="E429" s="51" t="n"/>
      <c r="F429" s="51" t="n"/>
      <c r="G429" s="52" t="n"/>
      <c r="H429" s="51">
        <f>IFERROR(E429-F429,0)</f>
        <v/>
      </c>
      <c r="I429" s="52" t="n"/>
      <c r="J429" s="49">
        <f>IF(A429="","",IF(H429&lt;=0,"Paid",IF(AND(I429&lt;TODAY(),I429&lt;&gt;""),"Overdue","Open")))</f>
        <v/>
      </c>
      <c r="K429" s="49" t="n"/>
    </row>
    <row r="430">
      <c r="A430" s="52" t="n"/>
      <c r="B430" s="49" t="n"/>
      <c r="C430" s="49" t="n"/>
      <c r="D430" s="49" t="n"/>
      <c r="E430" s="51" t="n"/>
      <c r="F430" s="51" t="n"/>
      <c r="G430" s="52" t="n"/>
      <c r="H430" s="51">
        <f>IFERROR(E430-F430,0)</f>
        <v/>
      </c>
      <c r="I430" s="52" t="n"/>
      <c r="J430" s="49">
        <f>IF(A430="","",IF(H430&lt;=0,"Paid",IF(AND(I430&lt;TODAY(),I430&lt;&gt;""),"Overdue","Open")))</f>
        <v/>
      </c>
      <c r="K430" s="49" t="n"/>
    </row>
    <row r="431">
      <c r="A431" s="52" t="n"/>
      <c r="B431" s="49" t="n"/>
      <c r="C431" s="49" t="n"/>
      <c r="D431" s="49" t="n"/>
      <c r="E431" s="51" t="n"/>
      <c r="F431" s="51" t="n"/>
      <c r="G431" s="52" t="n"/>
      <c r="H431" s="51">
        <f>IFERROR(E431-F431,0)</f>
        <v/>
      </c>
      <c r="I431" s="52" t="n"/>
      <c r="J431" s="49">
        <f>IF(A431="","",IF(H431&lt;=0,"Paid",IF(AND(I431&lt;TODAY(),I431&lt;&gt;""),"Overdue","Open")))</f>
        <v/>
      </c>
      <c r="K431" s="49" t="n"/>
    </row>
    <row r="432">
      <c r="A432" s="52" t="n"/>
      <c r="B432" s="49" t="n"/>
      <c r="C432" s="49" t="n"/>
      <c r="D432" s="49" t="n"/>
      <c r="E432" s="51" t="n"/>
      <c r="F432" s="51" t="n"/>
      <c r="G432" s="52" t="n"/>
      <c r="H432" s="51">
        <f>IFERROR(E432-F432,0)</f>
        <v/>
      </c>
      <c r="I432" s="52" t="n"/>
      <c r="J432" s="49">
        <f>IF(A432="","",IF(H432&lt;=0,"Paid",IF(AND(I432&lt;TODAY(),I432&lt;&gt;""),"Overdue","Open")))</f>
        <v/>
      </c>
      <c r="K432" s="49" t="n"/>
    </row>
    <row r="433">
      <c r="A433" s="52" t="n"/>
      <c r="B433" s="49" t="n"/>
      <c r="C433" s="49" t="n"/>
      <c r="D433" s="49" t="n"/>
      <c r="E433" s="51" t="n"/>
      <c r="F433" s="51" t="n"/>
      <c r="G433" s="52" t="n"/>
      <c r="H433" s="51">
        <f>IFERROR(E433-F433,0)</f>
        <v/>
      </c>
      <c r="I433" s="52" t="n"/>
      <c r="J433" s="49">
        <f>IF(A433="","",IF(H433&lt;=0,"Paid",IF(AND(I433&lt;TODAY(),I433&lt;&gt;""),"Overdue","Open")))</f>
        <v/>
      </c>
      <c r="K433" s="49" t="n"/>
    </row>
    <row r="434">
      <c r="A434" s="52" t="n"/>
      <c r="B434" s="49" t="n"/>
      <c r="C434" s="49" t="n"/>
      <c r="D434" s="49" t="n"/>
      <c r="E434" s="51" t="n"/>
      <c r="F434" s="51" t="n"/>
      <c r="G434" s="52" t="n"/>
      <c r="H434" s="51">
        <f>IFERROR(E434-F434,0)</f>
        <v/>
      </c>
      <c r="I434" s="52" t="n"/>
      <c r="J434" s="49">
        <f>IF(A434="","",IF(H434&lt;=0,"Paid",IF(AND(I434&lt;TODAY(),I434&lt;&gt;""),"Overdue","Open")))</f>
        <v/>
      </c>
      <c r="K434" s="49" t="n"/>
    </row>
    <row r="435">
      <c r="A435" s="52" t="n"/>
      <c r="B435" s="49" t="n"/>
      <c r="C435" s="49" t="n"/>
      <c r="D435" s="49" t="n"/>
      <c r="E435" s="51" t="n"/>
      <c r="F435" s="51" t="n"/>
      <c r="G435" s="52" t="n"/>
      <c r="H435" s="51">
        <f>IFERROR(E435-F435,0)</f>
        <v/>
      </c>
      <c r="I435" s="52" t="n"/>
      <c r="J435" s="49">
        <f>IF(A435="","",IF(H435&lt;=0,"Paid",IF(AND(I435&lt;TODAY(),I435&lt;&gt;""),"Overdue","Open")))</f>
        <v/>
      </c>
      <c r="K435" s="49" t="n"/>
    </row>
    <row r="436">
      <c r="A436" s="52" t="n"/>
      <c r="B436" s="49" t="n"/>
      <c r="C436" s="49" t="n"/>
      <c r="D436" s="49" t="n"/>
      <c r="E436" s="51" t="n"/>
      <c r="F436" s="51" t="n"/>
      <c r="G436" s="52" t="n"/>
      <c r="H436" s="51">
        <f>IFERROR(E436-F436,0)</f>
        <v/>
      </c>
      <c r="I436" s="52" t="n"/>
      <c r="J436" s="49">
        <f>IF(A436="","",IF(H436&lt;=0,"Paid",IF(AND(I436&lt;TODAY(),I436&lt;&gt;""),"Overdue","Open")))</f>
        <v/>
      </c>
      <c r="K436" s="49" t="n"/>
    </row>
    <row r="437">
      <c r="A437" s="52" t="n"/>
      <c r="B437" s="49" t="n"/>
      <c r="C437" s="49" t="n"/>
      <c r="D437" s="49" t="n"/>
      <c r="E437" s="51" t="n"/>
      <c r="F437" s="51" t="n"/>
      <c r="G437" s="52" t="n"/>
      <c r="H437" s="51">
        <f>IFERROR(E437-F437,0)</f>
        <v/>
      </c>
      <c r="I437" s="52" t="n"/>
      <c r="J437" s="49">
        <f>IF(A437="","",IF(H437&lt;=0,"Paid",IF(AND(I437&lt;TODAY(),I437&lt;&gt;""),"Overdue","Open")))</f>
        <v/>
      </c>
      <c r="K437" s="49" t="n"/>
    </row>
    <row r="438">
      <c r="A438" s="52" t="n"/>
      <c r="B438" s="49" t="n"/>
      <c r="C438" s="49" t="n"/>
      <c r="D438" s="49" t="n"/>
      <c r="E438" s="51" t="n"/>
      <c r="F438" s="51" t="n"/>
      <c r="G438" s="52" t="n"/>
      <c r="H438" s="51">
        <f>IFERROR(E438-F438,0)</f>
        <v/>
      </c>
      <c r="I438" s="52" t="n"/>
      <c r="J438" s="49">
        <f>IF(A438="","",IF(H438&lt;=0,"Paid",IF(AND(I438&lt;TODAY(),I438&lt;&gt;""),"Overdue","Open")))</f>
        <v/>
      </c>
      <c r="K438" s="49" t="n"/>
    </row>
    <row r="439">
      <c r="A439" s="52" t="n"/>
      <c r="B439" s="49" t="n"/>
      <c r="C439" s="49" t="n"/>
      <c r="D439" s="49" t="n"/>
      <c r="E439" s="51" t="n"/>
      <c r="F439" s="51" t="n"/>
      <c r="G439" s="52" t="n"/>
      <c r="H439" s="51">
        <f>IFERROR(E439-F439,0)</f>
        <v/>
      </c>
      <c r="I439" s="52" t="n"/>
      <c r="J439" s="49">
        <f>IF(A439="","",IF(H439&lt;=0,"Paid",IF(AND(I439&lt;TODAY(),I439&lt;&gt;""),"Overdue","Open")))</f>
        <v/>
      </c>
      <c r="K439" s="49" t="n"/>
    </row>
    <row r="440">
      <c r="A440" s="52" t="n"/>
      <c r="B440" s="49" t="n"/>
      <c r="C440" s="49" t="n"/>
      <c r="D440" s="49" t="n"/>
      <c r="E440" s="51" t="n"/>
      <c r="F440" s="51" t="n"/>
      <c r="G440" s="52" t="n"/>
      <c r="H440" s="51">
        <f>IFERROR(E440-F440,0)</f>
        <v/>
      </c>
      <c r="I440" s="52" t="n"/>
      <c r="J440" s="49">
        <f>IF(A440="","",IF(H440&lt;=0,"Paid",IF(AND(I440&lt;TODAY(),I440&lt;&gt;""),"Overdue","Open")))</f>
        <v/>
      </c>
      <c r="K440" s="49" t="n"/>
    </row>
    <row r="441">
      <c r="A441" s="52" t="n"/>
      <c r="B441" s="49" t="n"/>
      <c r="C441" s="49" t="n"/>
      <c r="D441" s="49" t="n"/>
      <c r="E441" s="51" t="n"/>
      <c r="F441" s="51" t="n"/>
      <c r="G441" s="52" t="n"/>
      <c r="H441" s="51">
        <f>IFERROR(E441-F441,0)</f>
        <v/>
      </c>
      <c r="I441" s="52" t="n"/>
      <c r="J441" s="49">
        <f>IF(A441="","",IF(H441&lt;=0,"Paid",IF(AND(I441&lt;TODAY(),I441&lt;&gt;""),"Overdue","Open")))</f>
        <v/>
      </c>
      <c r="K441" s="49" t="n"/>
    </row>
    <row r="442">
      <c r="A442" s="52" t="n"/>
      <c r="B442" s="49" t="n"/>
      <c r="C442" s="49" t="n"/>
      <c r="D442" s="49" t="n"/>
      <c r="E442" s="51" t="n"/>
      <c r="F442" s="51" t="n"/>
      <c r="G442" s="52" t="n"/>
      <c r="H442" s="51">
        <f>IFERROR(E442-F442,0)</f>
        <v/>
      </c>
      <c r="I442" s="52" t="n"/>
      <c r="J442" s="49">
        <f>IF(A442="","",IF(H442&lt;=0,"Paid",IF(AND(I442&lt;TODAY(),I442&lt;&gt;""),"Overdue","Open")))</f>
        <v/>
      </c>
      <c r="K442" s="49" t="n"/>
    </row>
    <row r="443">
      <c r="A443" s="52" t="n"/>
      <c r="B443" s="49" t="n"/>
      <c r="C443" s="49" t="n"/>
      <c r="D443" s="49" t="n"/>
      <c r="E443" s="51" t="n"/>
      <c r="F443" s="51" t="n"/>
      <c r="G443" s="52" t="n"/>
      <c r="H443" s="51">
        <f>IFERROR(E443-F443,0)</f>
        <v/>
      </c>
      <c r="I443" s="52" t="n"/>
      <c r="J443" s="49">
        <f>IF(A443="","",IF(H443&lt;=0,"Paid",IF(AND(I443&lt;TODAY(),I443&lt;&gt;""),"Overdue","Open")))</f>
        <v/>
      </c>
      <c r="K443" s="49" t="n"/>
    </row>
    <row r="444">
      <c r="A444" s="52" t="n"/>
      <c r="B444" s="49" t="n"/>
      <c r="C444" s="49" t="n"/>
      <c r="D444" s="49" t="n"/>
      <c r="E444" s="51" t="n"/>
      <c r="F444" s="51" t="n"/>
      <c r="G444" s="52" t="n"/>
      <c r="H444" s="51">
        <f>IFERROR(E444-F444,0)</f>
        <v/>
      </c>
      <c r="I444" s="52" t="n"/>
      <c r="J444" s="49">
        <f>IF(A444="","",IF(H444&lt;=0,"Paid",IF(AND(I444&lt;TODAY(),I444&lt;&gt;""),"Overdue","Open")))</f>
        <v/>
      </c>
      <c r="K444" s="49" t="n"/>
    </row>
    <row r="445">
      <c r="A445" s="52" t="n"/>
      <c r="B445" s="49" t="n"/>
      <c r="C445" s="49" t="n"/>
      <c r="D445" s="49" t="n"/>
      <c r="E445" s="51" t="n"/>
      <c r="F445" s="51" t="n"/>
      <c r="G445" s="52" t="n"/>
      <c r="H445" s="51">
        <f>IFERROR(E445-F445,0)</f>
        <v/>
      </c>
      <c r="I445" s="52" t="n"/>
      <c r="J445" s="49">
        <f>IF(A445="","",IF(H445&lt;=0,"Paid",IF(AND(I445&lt;TODAY(),I445&lt;&gt;""),"Overdue","Open")))</f>
        <v/>
      </c>
      <c r="K445" s="49" t="n"/>
    </row>
    <row r="446">
      <c r="A446" s="52" t="n"/>
      <c r="B446" s="49" t="n"/>
      <c r="C446" s="49" t="n"/>
      <c r="D446" s="49" t="n"/>
      <c r="E446" s="51" t="n"/>
      <c r="F446" s="51" t="n"/>
      <c r="G446" s="52" t="n"/>
      <c r="H446" s="51">
        <f>IFERROR(E446-F446,0)</f>
        <v/>
      </c>
      <c r="I446" s="52" t="n"/>
      <c r="J446" s="49">
        <f>IF(A446="","",IF(H446&lt;=0,"Paid",IF(AND(I446&lt;TODAY(),I446&lt;&gt;""),"Overdue","Open")))</f>
        <v/>
      </c>
      <c r="K446" s="49" t="n"/>
    </row>
    <row r="447">
      <c r="A447" s="52" t="n"/>
      <c r="B447" s="49" t="n"/>
      <c r="C447" s="49" t="n"/>
      <c r="D447" s="49" t="n"/>
      <c r="E447" s="51" t="n"/>
      <c r="F447" s="51" t="n"/>
      <c r="G447" s="52" t="n"/>
      <c r="H447" s="51">
        <f>IFERROR(E447-F447,0)</f>
        <v/>
      </c>
      <c r="I447" s="52" t="n"/>
      <c r="J447" s="49">
        <f>IF(A447="","",IF(H447&lt;=0,"Paid",IF(AND(I447&lt;TODAY(),I447&lt;&gt;""),"Overdue","Open")))</f>
        <v/>
      </c>
      <c r="K447" s="49" t="n"/>
    </row>
    <row r="448">
      <c r="A448" s="52" t="n"/>
      <c r="B448" s="49" t="n"/>
      <c r="C448" s="49" t="n"/>
      <c r="D448" s="49" t="n"/>
      <c r="E448" s="51" t="n"/>
      <c r="F448" s="51" t="n"/>
      <c r="G448" s="52" t="n"/>
      <c r="H448" s="51">
        <f>IFERROR(E448-F448,0)</f>
        <v/>
      </c>
      <c r="I448" s="52" t="n"/>
      <c r="J448" s="49">
        <f>IF(A448="","",IF(H448&lt;=0,"Paid",IF(AND(I448&lt;TODAY(),I448&lt;&gt;""),"Overdue","Open")))</f>
        <v/>
      </c>
      <c r="K448" s="49" t="n"/>
    </row>
    <row r="449">
      <c r="A449" s="52" t="n"/>
      <c r="B449" s="49" t="n"/>
      <c r="C449" s="49" t="n"/>
      <c r="D449" s="49" t="n"/>
      <c r="E449" s="51" t="n"/>
      <c r="F449" s="51" t="n"/>
      <c r="G449" s="52" t="n"/>
      <c r="H449" s="51">
        <f>IFERROR(E449-F449,0)</f>
        <v/>
      </c>
      <c r="I449" s="52" t="n"/>
      <c r="J449" s="49">
        <f>IF(A449="","",IF(H449&lt;=0,"Paid",IF(AND(I449&lt;TODAY(),I449&lt;&gt;""),"Overdue","Open")))</f>
        <v/>
      </c>
      <c r="K449" s="49" t="n"/>
    </row>
    <row r="450">
      <c r="A450" s="52" t="n"/>
      <c r="B450" s="49" t="n"/>
      <c r="C450" s="49" t="n"/>
      <c r="D450" s="49" t="n"/>
      <c r="E450" s="51" t="n"/>
      <c r="F450" s="51" t="n"/>
      <c r="G450" s="52" t="n"/>
      <c r="H450" s="51">
        <f>IFERROR(E450-F450,0)</f>
        <v/>
      </c>
      <c r="I450" s="52" t="n"/>
      <c r="J450" s="49">
        <f>IF(A450="","",IF(H450&lt;=0,"Paid",IF(AND(I450&lt;TODAY(),I450&lt;&gt;""),"Overdue","Open")))</f>
        <v/>
      </c>
      <c r="K450" s="49" t="n"/>
    </row>
    <row r="451">
      <c r="A451" s="52" t="n"/>
      <c r="B451" s="49" t="n"/>
      <c r="C451" s="49" t="n"/>
      <c r="D451" s="49" t="n"/>
      <c r="E451" s="51" t="n"/>
      <c r="F451" s="51" t="n"/>
      <c r="G451" s="52" t="n"/>
      <c r="H451" s="51">
        <f>IFERROR(E451-F451,0)</f>
        <v/>
      </c>
      <c r="I451" s="52" t="n"/>
      <c r="J451" s="49">
        <f>IF(A451="","",IF(H451&lt;=0,"Paid",IF(AND(I451&lt;TODAY(),I451&lt;&gt;""),"Overdue","Open")))</f>
        <v/>
      </c>
      <c r="K451" s="49" t="n"/>
    </row>
    <row r="452">
      <c r="A452" s="52" t="n"/>
      <c r="B452" s="49" t="n"/>
      <c r="C452" s="49" t="n"/>
      <c r="D452" s="49" t="n"/>
      <c r="E452" s="51" t="n"/>
      <c r="F452" s="51" t="n"/>
      <c r="G452" s="52" t="n"/>
      <c r="H452" s="51">
        <f>IFERROR(E452-F452,0)</f>
        <v/>
      </c>
      <c r="I452" s="52" t="n"/>
      <c r="J452" s="49">
        <f>IF(A452="","",IF(H452&lt;=0,"Paid",IF(AND(I452&lt;TODAY(),I452&lt;&gt;""),"Overdue","Open")))</f>
        <v/>
      </c>
      <c r="K452" s="49" t="n"/>
    </row>
    <row r="453">
      <c r="A453" s="52" t="n"/>
      <c r="B453" s="49" t="n"/>
      <c r="C453" s="49" t="n"/>
      <c r="D453" s="49" t="n"/>
      <c r="E453" s="51" t="n"/>
      <c r="F453" s="51" t="n"/>
      <c r="G453" s="52" t="n"/>
      <c r="H453" s="51">
        <f>IFERROR(E453-F453,0)</f>
        <v/>
      </c>
      <c r="I453" s="52" t="n"/>
      <c r="J453" s="49">
        <f>IF(A453="","",IF(H453&lt;=0,"Paid",IF(AND(I453&lt;TODAY(),I453&lt;&gt;""),"Overdue","Open")))</f>
        <v/>
      </c>
      <c r="K453" s="49" t="n"/>
    </row>
    <row r="454">
      <c r="A454" s="52" t="n"/>
      <c r="B454" s="49" t="n"/>
      <c r="C454" s="49" t="n"/>
      <c r="D454" s="49" t="n"/>
      <c r="E454" s="51" t="n"/>
      <c r="F454" s="51" t="n"/>
      <c r="G454" s="52" t="n"/>
      <c r="H454" s="51">
        <f>IFERROR(E454-F454,0)</f>
        <v/>
      </c>
      <c r="I454" s="52" t="n"/>
      <c r="J454" s="49">
        <f>IF(A454="","",IF(H454&lt;=0,"Paid",IF(AND(I454&lt;TODAY(),I454&lt;&gt;""),"Overdue","Open")))</f>
        <v/>
      </c>
      <c r="K454" s="49" t="n"/>
    </row>
    <row r="455">
      <c r="A455" s="52" t="n"/>
      <c r="B455" s="49" t="n"/>
      <c r="C455" s="49" t="n"/>
      <c r="D455" s="49" t="n"/>
      <c r="E455" s="51" t="n"/>
      <c r="F455" s="51" t="n"/>
      <c r="G455" s="52" t="n"/>
      <c r="H455" s="51">
        <f>IFERROR(E455-F455,0)</f>
        <v/>
      </c>
      <c r="I455" s="52" t="n"/>
      <c r="J455" s="49">
        <f>IF(A455="","",IF(H455&lt;=0,"Paid",IF(AND(I455&lt;TODAY(),I455&lt;&gt;""),"Overdue","Open")))</f>
        <v/>
      </c>
      <c r="K455" s="49" t="n"/>
    </row>
    <row r="456">
      <c r="A456" s="52" t="n"/>
      <c r="B456" s="49" t="n"/>
      <c r="C456" s="49" t="n"/>
      <c r="D456" s="49" t="n"/>
      <c r="E456" s="51" t="n"/>
      <c r="F456" s="51" t="n"/>
      <c r="G456" s="52" t="n"/>
      <c r="H456" s="51">
        <f>IFERROR(E456-F456,0)</f>
        <v/>
      </c>
      <c r="I456" s="52" t="n"/>
      <c r="J456" s="49">
        <f>IF(A456="","",IF(H456&lt;=0,"Paid",IF(AND(I456&lt;TODAY(),I456&lt;&gt;""),"Overdue","Open")))</f>
        <v/>
      </c>
      <c r="K456" s="49" t="n"/>
    </row>
    <row r="457">
      <c r="A457" s="52" t="n"/>
      <c r="B457" s="49" t="n"/>
      <c r="C457" s="49" t="n"/>
      <c r="D457" s="49" t="n"/>
      <c r="E457" s="51" t="n"/>
      <c r="F457" s="51" t="n"/>
      <c r="G457" s="52" t="n"/>
      <c r="H457" s="51">
        <f>IFERROR(E457-F457,0)</f>
        <v/>
      </c>
      <c r="I457" s="52" t="n"/>
      <c r="J457" s="49">
        <f>IF(A457="","",IF(H457&lt;=0,"Paid",IF(AND(I457&lt;TODAY(),I457&lt;&gt;""),"Overdue","Open")))</f>
        <v/>
      </c>
      <c r="K457" s="49" t="n"/>
    </row>
    <row r="458">
      <c r="A458" s="52" t="n"/>
      <c r="B458" s="49" t="n"/>
      <c r="C458" s="49" t="n"/>
      <c r="D458" s="49" t="n"/>
      <c r="E458" s="51" t="n"/>
      <c r="F458" s="51" t="n"/>
      <c r="G458" s="52" t="n"/>
      <c r="H458" s="51">
        <f>IFERROR(E458-F458,0)</f>
        <v/>
      </c>
      <c r="I458" s="52" t="n"/>
      <c r="J458" s="49">
        <f>IF(A458="","",IF(H458&lt;=0,"Paid",IF(AND(I458&lt;TODAY(),I458&lt;&gt;""),"Overdue","Open")))</f>
        <v/>
      </c>
      <c r="K458" s="49" t="n"/>
    </row>
    <row r="459">
      <c r="A459" s="52" t="n"/>
      <c r="B459" s="49" t="n"/>
      <c r="C459" s="49" t="n"/>
      <c r="D459" s="49" t="n"/>
      <c r="E459" s="51" t="n"/>
      <c r="F459" s="51" t="n"/>
      <c r="G459" s="52" t="n"/>
      <c r="H459" s="51">
        <f>IFERROR(E459-F459,0)</f>
        <v/>
      </c>
      <c r="I459" s="52" t="n"/>
      <c r="J459" s="49">
        <f>IF(A459="","",IF(H459&lt;=0,"Paid",IF(AND(I459&lt;TODAY(),I459&lt;&gt;""),"Overdue","Open")))</f>
        <v/>
      </c>
      <c r="K459" s="49" t="n"/>
    </row>
    <row r="460">
      <c r="A460" s="52" t="n"/>
      <c r="B460" s="49" t="n"/>
      <c r="C460" s="49" t="n"/>
      <c r="D460" s="49" t="n"/>
      <c r="E460" s="51" t="n"/>
      <c r="F460" s="51" t="n"/>
      <c r="G460" s="52" t="n"/>
      <c r="H460" s="51">
        <f>IFERROR(E460-F460,0)</f>
        <v/>
      </c>
      <c r="I460" s="52" t="n"/>
      <c r="J460" s="49">
        <f>IF(A460="","",IF(H460&lt;=0,"Paid",IF(AND(I460&lt;TODAY(),I460&lt;&gt;""),"Overdue","Open")))</f>
        <v/>
      </c>
      <c r="K460" s="49" t="n"/>
    </row>
    <row r="461">
      <c r="A461" s="52" t="n"/>
      <c r="B461" s="49" t="n"/>
      <c r="C461" s="49" t="n"/>
      <c r="D461" s="49" t="n"/>
      <c r="E461" s="51" t="n"/>
      <c r="F461" s="51" t="n"/>
      <c r="G461" s="52" t="n"/>
      <c r="H461" s="51">
        <f>IFERROR(E461-F461,0)</f>
        <v/>
      </c>
      <c r="I461" s="52" t="n"/>
      <c r="J461" s="49">
        <f>IF(A461="","",IF(H461&lt;=0,"Paid",IF(AND(I461&lt;TODAY(),I461&lt;&gt;""),"Overdue","Open")))</f>
        <v/>
      </c>
      <c r="K461" s="49" t="n"/>
    </row>
    <row r="462">
      <c r="A462" s="52" t="n"/>
      <c r="B462" s="49" t="n"/>
      <c r="C462" s="49" t="n"/>
      <c r="D462" s="49" t="n"/>
      <c r="E462" s="51" t="n"/>
      <c r="F462" s="51" t="n"/>
      <c r="G462" s="52" t="n"/>
      <c r="H462" s="51">
        <f>IFERROR(E462-F462,0)</f>
        <v/>
      </c>
      <c r="I462" s="52" t="n"/>
      <c r="J462" s="49">
        <f>IF(A462="","",IF(H462&lt;=0,"Paid",IF(AND(I462&lt;TODAY(),I462&lt;&gt;""),"Overdue","Open")))</f>
        <v/>
      </c>
      <c r="K462" s="49" t="n"/>
    </row>
    <row r="463">
      <c r="A463" s="52" t="n"/>
      <c r="B463" s="49" t="n"/>
      <c r="C463" s="49" t="n"/>
      <c r="D463" s="49" t="n"/>
      <c r="E463" s="51" t="n"/>
      <c r="F463" s="51" t="n"/>
      <c r="G463" s="52" t="n"/>
      <c r="H463" s="51">
        <f>IFERROR(E463-F463,0)</f>
        <v/>
      </c>
      <c r="I463" s="52" t="n"/>
      <c r="J463" s="49">
        <f>IF(A463="","",IF(H463&lt;=0,"Paid",IF(AND(I463&lt;TODAY(),I463&lt;&gt;""),"Overdue","Open")))</f>
        <v/>
      </c>
      <c r="K463" s="49" t="n"/>
    </row>
    <row r="464">
      <c r="A464" s="52" t="n"/>
      <c r="B464" s="49" t="n"/>
      <c r="C464" s="49" t="n"/>
      <c r="D464" s="49" t="n"/>
      <c r="E464" s="51" t="n"/>
      <c r="F464" s="51" t="n"/>
      <c r="G464" s="52" t="n"/>
      <c r="H464" s="51">
        <f>IFERROR(E464-F464,0)</f>
        <v/>
      </c>
      <c r="I464" s="52" t="n"/>
      <c r="J464" s="49">
        <f>IF(A464="","",IF(H464&lt;=0,"Paid",IF(AND(I464&lt;TODAY(),I464&lt;&gt;""),"Overdue","Open")))</f>
        <v/>
      </c>
      <c r="K464" s="49" t="n"/>
    </row>
    <row r="465">
      <c r="A465" s="52" t="n"/>
      <c r="B465" s="49" t="n"/>
      <c r="C465" s="49" t="n"/>
      <c r="D465" s="49" t="n"/>
      <c r="E465" s="51" t="n"/>
      <c r="F465" s="51" t="n"/>
      <c r="G465" s="52" t="n"/>
      <c r="H465" s="51">
        <f>IFERROR(E465-F465,0)</f>
        <v/>
      </c>
      <c r="I465" s="52" t="n"/>
      <c r="J465" s="49">
        <f>IF(A465="","",IF(H465&lt;=0,"Paid",IF(AND(I465&lt;TODAY(),I465&lt;&gt;""),"Overdue","Open")))</f>
        <v/>
      </c>
      <c r="K465" s="49" t="n"/>
    </row>
    <row r="466">
      <c r="A466" s="52" t="n"/>
      <c r="B466" s="49" t="n"/>
      <c r="C466" s="49" t="n"/>
      <c r="D466" s="49" t="n"/>
      <c r="E466" s="51" t="n"/>
      <c r="F466" s="51" t="n"/>
      <c r="G466" s="52" t="n"/>
      <c r="H466" s="51">
        <f>IFERROR(E466-F466,0)</f>
        <v/>
      </c>
      <c r="I466" s="52" t="n"/>
      <c r="J466" s="49">
        <f>IF(A466="","",IF(H466&lt;=0,"Paid",IF(AND(I466&lt;TODAY(),I466&lt;&gt;""),"Overdue","Open")))</f>
        <v/>
      </c>
      <c r="K466" s="49" t="n"/>
    </row>
    <row r="467">
      <c r="A467" s="52" t="n"/>
      <c r="B467" s="49" t="n"/>
      <c r="C467" s="49" t="n"/>
      <c r="D467" s="49" t="n"/>
      <c r="E467" s="51" t="n"/>
      <c r="F467" s="51" t="n"/>
      <c r="G467" s="52" t="n"/>
      <c r="H467" s="51">
        <f>IFERROR(E467-F467,0)</f>
        <v/>
      </c>
      <c r="I467" s="52" t="n"/>
      <c r="J467" s="49">
        <f>IF(A467="","",IF(H467&lt;=0,"Paid",IF(AND(I467&lt;TODAY(),I467&lt;&gt;""),"Overdue","Open")))</f>
        <v/>
      </c>
      <c r="K467" s="49" t="n"/>
    </row>
    <row r="468">
      <c r="A468" s="52" t="n"/>
      <c r="B468" s="49" t="n"/>
      <c r="C468" s="49" t="n"/>
      <c r="D468" s="49" t="n"/>
      <c r="E468" s="51" t="n"/>
      <c r="F468" s="51" t="n"/>
      <c r="G468" s="52" t="n"/>
      <c r="H468" s="51">
        <f>IFERROR(E468-F468,0)</f>
        <v/>
      </c>
      <c r="I468" s="52" t="n"/>
      <c r="J468" s="49">
        <f>IF(A468="","",IF(H468&lt;=0,"Paid",IF(AND(I468&lt;TODAY(),I468&lt;&gt;""),"Overdue","Open")))</f>
        <v/>
      </c>
      <c r="K468" s="49" t="n"/>
    </row>
    <row r="469">
      <c r="A469" s="52" t="n"/>
      <c r="B469" s="49" t="n"/>
      <c r="C469" s="49" t="n"/>
      <c r="D469" s="49" t="n"/>
      <c r="E469" s="51" t="n"/>
      <c r="F469" s="51" t="n"/>
      <c r="G469" s="52" t="n"/>
      <c r="H469" s="51">
        <f>IFERROR(E469-F469,0)</f>
        <v/>
      </c>
      <c r="I469" s="52" t="n"/>
      <c r="J469" s="49">
        <f>IF(A469="","",IF(H469&lt;=0,"Paid",IF(AND(I469&lt;TODAY(),I469&lt;&gt;""),"Overdue","Open")))</f>
        <v/>
      </c>
      <c r="K469" s="49" t="n"/>
    </row>
    <row r="470">
      <c r="A470" s="52" t="n"/>
      <c r="B470" s="49" t="n"/>
      <c r="C470" s="49" t="n"/>
      <c r="D470" s="49" t="n"/>
      <c r="E470" s="51" t="n"/>
      <c r="F470" s="51" t="n"/>
      <c r="G470" s="52" t="n"/>
      <c r="H470" s="51">
        <f>IFERROR(E470-F470,0)</f>
        <v/>
      </c>
      <c r="I470" s="52" t="n"/>
      <c r="J470" s="49">
        <f>IF(A470="","",IF(H470&lt;=0,"Paid",IF(AND(I470&lt;TODAY(),I470&lt;&gt;""),"Overdue","Open")))</f>
        <v/>
      </c>
      <c r="K470" s="49" t="n"/>
    </row>
    <row r="471">
      <c r="A471" s="52" t="n"/>
      <c r="B471" s="49" t="n"/>
      <c r="C471" s="49" t="n"/>
      <c r="D471" s="49" t="n"/>
      <c r="E471" s="51" t="n"/>
      <c r="F471" s="51" t="n"/>
      <c r="G471" s="52" t="n"/>
      <c r="H471" s="51">
        <f>IFERROR(E471-F471,0)</f>
        <v/>
      </c>
      <c r="I471" s="52" t="n"/>
      <c r="J471" s="49">
        <f>IF(A471="","",IF(H471&lt;=0,"Paid",IF(AND(I471&lt;TODAY(),I471&lt;&gt;""),"Overdue","Open")))</f>
        <v/>
      </c>
      <c r="K471" s="49" t="n"/>
    </row>
    <row r="472">
      <c r="A472" s="52" t="n"/>
      <c r="B472" s="49" t="n"/>
      <c r="C472" s="49" t="n"/>
      <c r="D472" s="49" t="n"/>
      <c r="E472" s="51" t="n"/>
      <c r="F472" s="51" t="n"/>
      <c r="G472" s="52" t="n"/>
      <c r="H472" s="51">
        <f>IFERROR(E472-F472,0)</f>
        <v/>
      </c>
      <c r="I472" s="52" t="n"/>
      <c r="J472" s="49">
        <f>IF(A472="","",IF(H472&lt;=0,"Paid",IF(AND(I472&lt;TODAY(),I472&lt;&gt;""),"Overdue","Open")))</f>
        <v/>
      </c>
      <c r="K472" s="49" t="n"/>
    </row>
    <row r="473">
      <c r="A473" s="52" t="n"/>
      <c r="B473" s="49" t="n"/>
      <c r="C473" s="49" t="n"/>
      <c r="D473" s="49" t="n"/>
      <c r="E473" s="51" t="n"/>
      <c r="F473" s="51" t="n"/>
      <c r="G473" s="52" t="n"/>
      <c r="H473" s="51">
        <f>IFERROR(E473-F473,0)</f>
        <v/>
      </c>
      <c r="I473" s="52" t="n"/>
      <c r="J473" s="49">
        <f>IF(A473="","",IF(H473&lt;=0,"Paid",IF(AND(I473&lt;TODAY(),I473&lt;&gt;""),"Overdue","Open")))</f>
        <v/>
      </c>
      <c r="K473" s="49" t="n"/>
    </row>
    <row r="474">
      <c r="A474" s="52" t="n"/>
      <c r="B474" s="49" t="n"/>
      <c r="C474" s="49" t="n"/>
      <c r="D474" s="49" t="n"/>
      <c r="E474" s="51" t="n"/>
      <c r="F474" s="51" t="n"/>
      <c r="G474" s="52" t="n"/>
      <c r="H474" s="51">
        <f>IFERROR(E474-F474,0)</f>
        <v/>
      </c>
      <c r="I474" s="52" t="n"/>
      <c r="J474" s="49">
        <f>IF(A474="","",IF(H474&lt;=0,"Paid",IF(AND(I474&lt;TODAY(),I474&lt;&gt;""),"Overdue","Open")))</f>
        <v/>
      </c>
      <c r="K474" s="49" t="n"/>
    </row>
    <row r="475">
      <c r="A475" s="52" t="n"/>
      <c r="B475" s="49" t="n"/>
      <c r="C475" s="49" t="n"/>
      <c r="D475" s="49" t="n"/>
      <c r="E475" s="51" t="n"/>
      <c r="F475" s="51" t="n"/>
      <c r="G475" s="52" t="n"/>
      <c r="H475" s="51">
        <f>IFERROR(E475-F475,0)</f>
        <v/>
      </c>
      <c r="I475" s="52" t="n"/>
      <c r="J475" s="49">
        <f>IF(A475="","",IF(H475&lt;=0,"Paid",IF(AND(I475&lt;TODAY(),I475&lt;&gt;""),"Overdue","Open")))</f>
        <v/>
      </c>
      <c r="K475" s="49" t="n"/>
    </row>
    <row r="476">
      <c r="A476" s="52" t="n"/>
      <c r="B476" s="49" t="n"/>
      <c r="C476" s="49" t="n"/>
      <c r="D476" s="49" t="n"/>
      <c r="E476" s="51" t="n"/>
      <c r="F476" s="51" t="n"/>
      <c r="G476" s="52" t="n"/>
      <c r="H476" s="51">
        <f>IFERROR(E476-F476,0)</f>
        <v/>
      </c>
      <c r="I476" s="52" t="n"/>
      <c r="J476" s="49">
        <f>IF(A476="","",IF(H476&lt;=0,"Paid",IF(AND(I476&lt;TODAY(),I476&lt;&gt;""),"Overdue","Open")))</f>
        <v/>
      </c>
      <c r="K476" s="49" t="n"/>
    </row>
    <row r="477">
      <c r="A477" s="52" t="n"/>
      <c r="B477" s="49" t="n"/>
      <c r="C477" s="49" t="n"/>
      <c r="D477" s="49" t="n"/>
      <c r="E477" s="51" t="n"/>
      <c r="F477" s="51" t="n"/>
      <c r="G477" s="52" t="n"/>
      <c r="H477" s="51">
        <f>IFERROR(E477-F477,0)</f>
        <v/>
      </c>
      <c r="I477" s="52" t="n"/>
      <c r="J477" s="49">
        <f>IF(A477="","",IF(H477&lt;=0,"Paid",IF(AND(I477&lt;TODAY(),I477&lt;&gt;""),"Overdue","Open")))</f>
        <v/>
      </c>
      <c r="K477" s="49" t="n"/>
    </row>
    <row r="478">
      <c r="A478" s="52" t="n"/>
      <c r="B478" s="49" t="n"/>
      <c r="C478" s="49" t="n"/>
      <c r="D478" s="49" t="n"/>
      <c r="E478" s="51" t="n"/>
      <c r="F478" s="51" t="n"/>
      <c r="G478" s="52" t="n"/>
      <c r="H478" s="51">
        <f>IFERROR(E478-F478,0)</f>
        <v/>
      </c>
      <c r="I478" s="52" t="n"/>
      <c r="J478" s="49">
        <f>IF(A478="","",IF(H478&lt;=0,"Paid",IF(AND(I478&lt;TODAY(),I478&lt;&gt;""),"Overdue","Open")))</f>
        <v/>
      </c>
      <c r="K478" s="49" t="n"/>
    </row>
    <row r="479">
      <c r="A479" s="52" t="n"/>
      <c r="B479" s="49" t="n"/>
      <c r="C479" s="49" t="n"/>
      <c r="D479" s="49" t="n"/>
      <c r="E479" s="51" t="n"/>
      <c r="F479" s="51" t="n"/>
      <c r="G479" s="52" t="n"/>
      <c r="H479" s="51">
        <f>IFERROR(E479-F479,0)</f>
        <v/>
      </c>
      <c r="I479" s="52" t="n"/>
      <c r="J479" s="49">
        <f>IF(A479="","",IF(H479&lt;=0,"Paid",IF(AND(I479&lt;TODAY(),I479&lt;&gt;""),"Overdue","Open")))</f>
        <v/>
      </c>
      <c r="K479" s="49" t="n"/>
    </row>
    <row r="480">
      <c r="A480" s="52" t="n"/>
      <c r="B480" s="49" t="n"/>
      <c r="C480" s="49" t="n"/>
      <c r="D480" s="49" t="n"/>
      <c r="E480" s="51" t="n"/>
      <c r="F480" s="51" t="n"/>
      <c r="G480" s="52" t="n"/>
      <c r="H480" s="51">
        <f>IFERROR(E480-F480,0)</f>
        <v/>
      </c>
      <c r="I480" s="52" t="n"/>
      <c r="J480" s="49">
        <f>IF(A480="","",IF(H480&lt;=0,"Paid",IF(AND(I480&lt;TODAY(),I480&lt;&gt;""),"Overdue","Open")))</f>
        <v/>
      </c>
      <c r="K480" s="49" t="n"/>
    </row>
    <row r="481">
      <c r="A481" s="52" t="n"/>
      <c r="B481" s="49" t="n"/>
      <c r="C481" s="49" t="n"/>
      <c r="D481" s="49" t="n"/>
      <c r="E481" s="51" t="n"/>
      <c r="F481" s="51" t="n"/>
      <c r="G481" s="52" t="n"/>
      <c r="H481" s="51">
        <f>IFERROR(E481-F481,0)</f>
        <v/>
      </c>
      <c r="I481" s="52" t="n"/>
      <c r="J481" s="49">
        <f>IF(A481="","",IF(H481&lt;=0,"Paid",IF(AND(I481&lt;TODAY(),I481&lt;&gt;""),"Overdue","Open")))</f>
        <v/>
      </c>
      <c r="K481" s="49" t="n"/>
    </row>
    <row r="482">
      <c r="A482" s="52" t="n"/>
      <c r="B482" s="49" t="n"/>
      <c r="C482" s="49" t="n"/>
      <c r="D482" s="49" t="n"/>
      <c r="E482" s="51" t="n"/>
      <c r="F482" s="51" t="n"/>
      <c r="G482" s="52" t="n"/>
      <c r="H482" s="51">
        <f>IFERROR(E482-F482,0)</f>
        <v/>
      </c>
      <c r="I482" s="52" t="n"/>
      <c r="J482" s="49">
        <f>IF(A482="","",IF(H482&lt;=0,"Paid",IF(AND(I482&lt;TODAY(),I482&lt;&gt;""),"Overdue","Open")))</f>
        <v/>
      </c>
      <c r="K482" s="49" t="n"/>
    </row>
    <row r="483">
      <c r="A483" s="52" t="n"/>
      <c r="B483" s="49" t="n"/>
      <c r="C483" s="49" t="n"/>
      <c r="D483" s="49" t="n"/>
      <c r="E483" s="51" t="n"/>
      <c r="F483" s="51" t="n"/>
      <c r="G483" s="52" t="n"/>
      <c r="H483" s="51">
        <f>IFERROR(E483-F483,0)</f>
        <v/>
      </c>
      <c r="I483" s="52" t="n"/>
      <c r="J483" s="49">
        <f>IF(A483="","",IF(H483&lt;=0,"Paid",IF(AND(I483&lt;TODAY(),I483&lt;&gt;""),"Overdue","Open")))</f>
        <v/>
      </c>
      <c r="K483" s="49" t="n"/>
    </row>
    <row r="484">
      <c r="A484" s="52" t="n"/>
      <c r="B484" s="49" t="n"/>
      <c r="C484" s="49" t="n"/>
      <c r="D484" s="49" t="n"/>
      <c r="E484" s="51" t="n"/>
      <c r="F484" s="51" t="n"/>
      <c r="G484" s="52" t="n"/>
      <c r="H484" s="51">
        <f>IFERROR(E484-F484,0)</f>
        <v/>
      </c>
      <c r="I484" s="52" t="n"/>
      <c r="J484" s="49">
        <f>IF(A484="","",IF(H484&lt;=0,"Paid",IF(AND(I484&lt;TODAY(),I484&lt;&gt;""),"Overdue","Open")))</f>
        <v/>
      </c>
      <c r="K484" s="49" t="n"/>
    </row>
    <row r="485">
      <c r="A485" s="52" t="n"/>
      <c r="B485" s="49" t="n"/>
      <c r="C485" s="49" t="n"/>
      <c r="D485" s="49" t="n"/>
      <c r="E485" s="51" t="n"/>
      <c r="F485" s="51" t="n"/>
      <c r="G485" s="52" t="n"/>
      <c r="H485" s="51">
        <f>IFERROR(E485-F485,0)</f>
        <v/>
      </c>
      <c r="I485" s="52" t="n"/>
      <c r="J485" s="49">
        <f>IF(A485="","",IF(H485&lt;=0,"Paid",IF(AND(I485&lt;TODAY(),I485&lt;&gt;""),"Overdue","Open")))</f>
        <v/>
      </c>
      <c r="K485" s="49" t="n"/>
    </row>
    <row r="486">
      <c r="A486" s="52" t="n"/>
      <c r="B486" s="49" t="n"/>
      <c r="C486" s="49" t="n"/>
      <c r="D486" s="49" t="n"/>
      <c r="E486" s="51" t="n"/>
      <c r="F486" s="51" t="n"/>
      <c r="G486" s="52" t="n"/>
      <c r="H486" s="51">
        <f>IFERROR(E486-F486,0)</f>
        <v/>
      </c>
      <c r="I486" s="52" t="n"/>
      <c r="J486" s="49">
        <f>IF(A486="","",IF(H486&lt;=0,"Paid",IF(AND(I486&lt;TODAY(),I486&lt;&gt;""),"Overdue","Open")))</f>
        <v/>
      </c>
      <c r="K486" s="49" t="n"/>
    </row>
    <row r="487">
      <c r="A487" s="52" t="n"/>
      <c r="B487" s="49" t="n"/>
      <c r="C487" s="49" t="n"/>
      <c r="D487" s="49" t="n"/>
      <c r="E487" s="51" t="n"/>
      <c r="F487" s="51" t="n"/>
      <c r="G487" s="52" t="n"/>
      <c r="H487" s="51">
        <f>IFERROR(E487-F487,0)</f>
        <v/>
      </c>
      <c r="I487" s="52" t="n"/>
      <c r="J487" s="49">
        <f>IF(A487="","",IF(H487&lt;=0,"Paid",IF(AND(I487&lt;TODAY(),I487&lt;&gt;""),"Overdue","Open")))</f>
        <v/>
      </c>
      <c r="K487" s="49" t="n"/>
    </row>
    <row r="488">
      <c r="A488" s="52" t="n"/>
      <c r="B488" s="49" t="n"/>
      <c r="C488" s="49" t="n"/>
      <c r="D488" s="49" t="n"/>
      <c r="E488" s="51" t="n"/>
      <c r="F488" s="51" t="n"/>
      <c r="G488" s="52" t="n"/>
      <c r="H488" s="51">
        <f>IFERROR(E488-F488,0)</f>
        <v/>
      </c>
      <c r="I488" s="52" t="n"/>
      <c r="J488" s="49">
        <f>IF(A488="","",IF(H488&lt;=0,"Paid",IF(AND(I488&lt;TODAY(),I488&lt;&gt;""),"Overdue","Open")))</f>
        <v/>
      </c>
      <c r="K488" s="49" t="n"/>
    </row>
    <row r="489">
      <c r="A489" s="52" t="n"/>
      <c r="B489" s="49" t="n"/>
      <c r="C489" s="49" t="n"/>
      <c r="D489" s="49" t="n"/>
      <c r="E489" s="51" t="n"/>
      <c r="F489" s="51" t="n"/>
      <c r="G489" s="52" t="n"/>
      <c r="H489" s="51">
        <f>IFERROR(E489-F489,0)</f>
        <v/>
      </c>
      <c r="I489" s="52" t="n"/>
      <c r="J489" s="49">
        <f>IF(A489="","",IF(H489&lt;=0,"Paid",IF(AND(I489&lt;TODAY(),I489&lt;&gt;""),"Overdue","Open")))</f>
        <v/>
      </c>
      <c r="K489" s="49" t="n"/>
    </row>
    <row r="490">
      <c r="A490" s="52" t="n"/>
      <c r="B490" s="49" t="n"/>
      <c r="C490" s="49" t="n"/>
      <c r="D490" s="49" t="n"/>
      <c r="E490" s="51" t="n"/>
      <c r="F490" s="51" t="n"/>
      <c r="G490" s="52" t="n"/>
      <c r="H490" s="51">
        <f>IFERROR(E490-F490,0)</f>
        <v/>
      </c>
      <c r="I490" s="52" t="n"/>
      <c r="J490" s="49">
        <f>IF(A490="","",IF(H490&lt;=0,"Paid",IF(AND(I490&lt;TODAY(),I490&lt;&gt;""),"Overdue","Open")))</f>
        <v/>
      </c>
      <c r="K490" s="49" t="n"/>
    </row>
    <row r="491">
      <c r="A491" s="52" t="n"/>
      <c r="B491" s="49" t="n"/>
      <c r="C491" s="49" t="n"/>
      <c r="D491" s="49" t="n"/>
      <c r="E491" s="51" t="n"/>
      <c r="F491" s="51" t="n"/>
      <c r="G491" s="52" t="n"/>
      <c r="H491" s="51">
        <f>IFERROR(E491-F491,0)</f>
        <v/>
      </c>
      <c r="I491" s="52" t="n"/>
      <c r="J491" s="49">
        <f>IF(A491="","",IF(H491&lt;=0,"Paid",IF(AND(I491&lt;TODAY(),I491&lt;&gt;""),"Overdue","Open")))</f>
        <v/>
      </c>
      <c r="K491" s="49" t="n"/>
    </row>
    <row r="492">
      <c r="A492" s="52" t="n"/>
      <c r="B492" s="49" t="n"/>
      <c r="C492" s="49" t="n"/>
      <c r="D492" s="49" t="n"/>
      <c r="E492" s="51" t="n"/>
      <c r="F492" s="51" t="n"/>
      <c r="G492" s="52" t="n"/>
      <c r="H492" s="51">
        <f>IFERROR(E492-F492,0)</f>
        <v/>
      </c>
      <c r="I492" s="52" t="n"/>
      <c r="J492" s="49">
        <f>IF(A492="","",IF(H492&lt;=0,"Paid",IF(AND(I492&lt;TODAY(),I492&lt;&gt;""),"Overdue","Open")))</f>
        <v/>
      </c>
      <c r="K492" s="49" t="n"/>
    </row>
    <row r="493">
      <c r="A493" s="52" t="n"/>
      <c r="B493" s="49" t="n"/>
      <c r="C493" s="49" t="n"/>
      <c r="D493" s="49" t="n"/>
      <c r="E493" s="51" t="n"/>
      <c r="F493" s="51" t="n"/>
      <c r="G493" s="52" t="n"/>
      <c r="H493" s="51">
        <f>IFERROR(E493-F493,0)</f>
        <v/>
      </c>
      <c r="I493" s="52" t="n"/>
      <c r="J493" s="49">
        <f>IF(A493="","",IF(H493&lt;=0,"Paid",IF(AND(I493&lt;TODAY(),I493&lt;&gt;""),"Overdue","Open")))</f>
        <v/>
      </c>
      <c r="K493" s="49" t="n"/>
    </row>
    <row r="494">
      <c r="A494" s="52" t="n"/>
      <c r="B494" s="49" t="n"/>
      <c r="C494" s="49" t="n"/>
      <c r="D494" s="49" t="n"/>
      <c r="E494" s="51" t="n"/>
      <c r="F494" s="51" t="n"/>
      <c r="G494" s="52" t="n"/>
      <c r="H494" s="51">
        <f>IFERROR(E494-F494,0)</f>
        <v/>
      </c>
      <c r="I494" s="52" t="n"/>
      <c r="J494" s="49">
        <f>IF(A494="","",IF(H494&lt;=0,"Paid",IF(AND(I494&lt;TODAY(),I494&lt;&gt;""),"Overdue","Open")))</f>
        <v/>
      </c>
      <c r="K494" s="49" t="n"/>
    </row>
    <row r="495">
      <c r="A495" s="52" t="n"/>
      <c r="B495" s="49" t="n"/>
      <c r="C495" s="49" t="n"/>
      <c r="D495" s="49" t="n"/>
      <c r="E495" s="51" t="n"/>
      <c r="F495" s="51" t="n"/>
      <c r="G495" s="52" t="n"/>
      <c r="H495" s="51">
        <f>IFERROR(E495-F495,0)</f>
        <v/>
      </c>
      <c r="I495" s="52" t="n"/>
      <c r="J495" s="49">
        <f>IF(A495="","",IF(H495&lt;=0,"Paid",IF(AND(I495&lt;TODAY(),I495&lt;&gt;""),"Overdue","Open")))</f>
        <v/>
      </c>
      <c r="K495" s="49" t="n"/>
    </row>
    <row r="496">
      <c r="A496" s="52" t="n"/>
      <c r="B496" s="49" t="n"/>
      <c r="C496" s="49" t="n"/>
      <c r="D496" s="49" t="n"/>
      <c r="E496" s="51" t="n"/>
      <c r="F496" s="51" t="n"/>
      <c r="G496" s="52" t="n"/>
      <c r="H496" s="51">
        <f>IFERROR(E496-F496,0)</f>
        <v/>
      </c>
      <c r="I496" s="52" t="n"/>
      <c r="J496" s="49">
        <f>IF(A496="","",IF(H496&lt;=0,"Paid",IF(AND(I496&lt;TODAY(),I496&lt;&gt;""),"Overdue","Open")))</f>
        <v/>
      </c>
      <c r="K496" s="49" t="n"/>
    </row>
    <row r="497">
      <c r="A497" s="52" t="n"/>
      <c r="B497" s="49" t="n"/>
      <c r="C497" s="49" t="n"/>
      <c r="D497" s="49" t="n"/>
      <c r="E497" s="51" t="n"/>
      <c r="F497" s="51" t="n"/>
      <c r="G497" s="52" t="n"/>
      <c r="H497" s="51">
        <f>IFERROR(E497-F497,0)</f>
        <v/>
      </c>
      <c r="I497" s="52" t="n"/>
      <c r="J497" s="49">
        <f>IF(A497="","",IF(H497&lt;=0,"Paid",IF(AND(I497&lt;TODAY(),I497&lt;&gt;""),"Overdue","Open")))</f>
        <v/>
      </c>
      <c r="K497" s="49" t="n"/>
    </row>
    <row r="498">
      <c r="A498" s="52" t="n"/>
      <c r="B498" s="49" t="n"/>
      <c r="C498" s="49" t="n"/>
      <c r="D498" s="49" t="n"/>
      <c r="E498" s="51" t="n"/>
      <c r="F498" s="51" t="n"/>
      <c r="G498" s="52" t="n"/>
      <c r="H498" s="51">
        <f>IFERROR(E498-F498,0)</f>
        <v/>
      </c>
      <c r="I498" s="52" t="n"/>
      <c r="J498" s="49">
        <f>IF(A498="","",IF(H498&lt;=0,"Paid",IF(AND(I498&lt;TODAY(),I498&lt;&gt;""),"Overdue","Open")))</f>
        <v/>
      </c>
      <c r="K498" s="49" t="n"/>
    </row>
    <row r="499">
      <c r="A499" s="52" t="n"/>
      <c r="B499" s="49" t="n"/>
      <c r="C499" s="49" t="n"/>
      <c r="D499" s="49" t="n"/>
      <c r="E499" s="51" t="n"/>
      <c r="F499" s="51" t="n"/>
      <c r="G499" s="52" t="n"/>
      <c r="H499" s="51">
        <f>IFERROR(E499-F499,0)</f>
        <v/>
      </c>
      <c r="I499" s="52" t="n"/>
      <c r="J499" s="49">
        <f>IF(A499="","",IF(H499&lt;=0,"Paid",IF(AND(I499&lt;TODAY(),I499&lt;&gt;""),"Overdue","Open")))</f>
        <v/>
      </c>
      <c r="K499" s="49" t="n"/>
    </row>
    <row r="500">
      <c r="A500" s="52" t="n"/>
      <c r="B500" s="49" t="n"/>
      <c r="C500" s="49" t="n"/>
      <c r="D500" s="49" t="n"/>
      <c r="E500" s="51" t="n"/>
      <c r="F500" s="51" t="n"/>
      <c r="G500" s="52" t="n"/>
      <c r="H500" s="51">
        <f>IFERROR(E500-F500,0)</f>
        <v/>
      </c>
      <c r="I500" s="52" t="n"/>
      <c r="J500" s="49">
        <f>IF(A500="","",IF(H500&lt;=0,"Paid",IF(AND(I500&lt;TODAY(),I500&lt;&gt;""),"Overdue","Open")))</f>
        <v/>
      </c>
      <c r="K500" s="49" t="n"/>
    </row>
    <row r="501">
      <c r="A501" s="52" t="n"/>
      <c r="B501" s="49" t="n"/>
      <c r="C501" s="49" t="n"/>
      <c r="D501" s="49" t="n"/>
      <c r="E501" s="51" t="n"/>
      <c r="F501" s="51" t="n"/>
      <c r="G501" s="52" t="n"/>
      <c r="H501" s="51">
        <f>IFERROR(E501-F501,0)</f>
        <v/>
      </c>
      <c r="I501" s="52" t="n"/>
      <c r="J501" s="49">
        <f>IF(A501="","",IF(H501&lt;=0,"Paid",IF(AND(I501&lt;TODAY(),I501&lt;&gt;""),"Overdue","Open")))</f>
        <v/>
      </c>
      <c r="K501" s="49" t="n"/>
    </row>
  </sheetData>
  <dataValidations count="1">
    <dataValidation sqref="J2:J501" showDropDown="0" showInputMessage="0" showErrorMessage="0" allowBlank="1" type="list">
      <formula1>"Open,Paid,Overdue,Part-paid"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5" customWidth="1" min="3" max="3"/>
    <col width="15" customWidth="1" min="4" max="4"/>
  </cols>
  <sheetData>
    <row r="1">
      <c r="A1" s="53" t="inlineStr">
        <is>
          <t>Cash Position Tracker</t>
        </is>
      </c>
      <c r="B1" s="1" t="n"/>
      <c r="C1" s="1" t="n"/>
      <c r="D1" s="1" t="n"/>
    </row>
    <row r="3">
      <c r="A3" s="54" t="inlineStr">
        <is>
          <t>Opening cash float / cash on hand at day one (RMB)</t>
        </is>
      </c>
      <c r="B3" s="55" t="n">
        <v>0</v>
      </c>
    </row>
    <row r="4">
      <c r="A4" s="54" t="inlineStr">
        <is>
          <t>Cash sales collected (RMB)</t>
        </is>
      </c>
      <c r="B4" s="55">
        <f>SUM('Daily Sales Log'!J2:J501)</f>
        <v/>
      </c>
    </row>
    <row r="5">
      <c r="A5" s="54" t="inlineStr">
        <is>
          <t>Credit customer payments collected (RMB)</t>
        </is>
      </c>
      <c r="B5" s="55">
        <f>SUM('Credit Sales Tracker'!H2:H501)</f>
        <v/>
      </c>
    </row>
    <row r="6">
      <c r="A6" s="54" t="inlineStr">
        <is>
          <t>Total cash inflow (RMB)</t>
        </is>
      </c>
      <c r="B6" s="55">
        <f>SUM(B4:B5)</f>
        <v/>
      </c>
    </row>
    <row r="7">
      <c r="A7" s="54" t="inlineStr">
        <is>
          <t>Expenses paid (RMB)</t>
        </is>
      </c>
      <c r="B7" s="55">
        <f>SUM('Daily Expenses Log'!E2:E501)</f>
        <v/>
      </c>
    </row>
    <row r="8">
      <c r="A8" s="54" t="inlineStr">
        <is>
          <t>Payments to creditors/suppliers (RMB)</t>
        </is>
      </c>
      <c r="B8" s="55">
        <f>SUM('Creditors Tracker'!F2:F501)</f>
        <v/>
      </c>
    </row>
    <row r="9">
      <c r="A9" s="54" t="inlineStr">
        <is>
          <t>Total cash outflow (RMB)</t>
        </is>
      </c>
      <c r="B9" s="55">
        <f>SUM(B7:B8)</f>
        <v/>
      </c>
    </row>
    <row r="10">
      <c r="A10" s="54" t="inlineStr">
        <is>
          <t>Cash in hand now (RMB)</t>
        </is>
      </c>
      <c r="B10" s="55">
        <f>B3+B6-B9</f>
        <v/>
      </c>
    </row>
    <row r="11">
      <c r="A11" s="54" t="inlineStr">
        <is>
          <t>Credit sales outstanding (RMB)</t>
        </is>
      </c>
      <c r="B11" s="55">
        <f>SUM('Credit Sales Tracker'!J2:J501)</f>
        <v/>
      </c>
    </row>
    <row r="12">
      <c r="A12" s="54" t="inlineStr">
        <is>
          <t>Outstanding creditors/suppliers (RMB)</t>
        </is>
      </c>
      <c r="B12" s="55">
        <f>SUM('Creditors Tracker'!H2:H501)</f>
        <v/>
      </c>
    </row>
    <row r="13">
      <c r="A13" s="54" t="inlineStr">
        <is>
          <t>Stock at selling value on hand (RMB)</t>
        </is>
      </c>
      <c r="B13" s="55">
        <f>SUM('Stock Master'!L2:L49)</f>
        <v/>
      </c>
    </row>
    <row r="16" ht="30" customHeight="1">
      <c r="A16" s="45" t="inlineStr">
        <is>
          <t>Cash Count Check</t>
        </is>
      </c>
      <c r="B16" s="45" t="n"/>
      <c r="C16" s="45" t="n"/>
      <c r="D16" s="45" t="n"/>
    </row>
    <row r="17">
      <c r="A17" s="46" t="inlineStr">
        <is>
          <t>Physical cash counted at end of day (RMB)</t>
        </is>
      </c>
      <c r="B17" s="47" t="inlineStr"/>
      <c r="C17" s="56" t="n"/>
      <c r="D17" s="56" t="n"/>
    </row>
    <row r="18">
      <c r="A18" s="46" t="inlineStr">
        <is>
          <t>Expected cash in workbook (RMB)</t>
        </is>
      </c>
      <c r="B18" s="47">
        <f>B10</f>
        <v/>
      </c>
      <c r="C18" s="56" t="n"/>
      <c r="D18" s="56" t="n"/>
    </row>
    <row r="19">
      <c r="A19" s="46" t="inlineStr">
        <is>
          <t>Difference</t>
        </is>
      </c>
      <c r="B19" s="47">
        <f>B17-B18</f>
        <v/>
      </c>
      <c r="C19" s="56" t="n"/>
      <c r="D19" s="56" t="n"/>
    </row>
    <row r="20">
      <c r="A20" s="46" t="inlineStr">
        <is>
          <t>Notes / reason for difference</t>
        </is>
      </c>
      <c r="B20" s="47" t="inlineStr"/>
      <c r="C20" s="56" t="n"/>
      <c r="D20" s="56" t="n"/>
    </row>
  </sheetData>
  <mergeCells count="2">
    <mergeCell ref="A1:D1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  <col width="14" customWidth="1" min="7" max="7"/>
    <col width="16" customWidth="1" min="8" max="8"/>
    <col width="18" customWidth="1" min="9" max="9"/>
    <col width="18" customWidth="1" min="10" max="10"/>
    <col width="28" customWidth="1" min="11" max="11"/>
  </cols>
  <sheetData>
    <row r="1" ht="30" customHeight="1">
      <c r="A1" s="50" t="inlineStr">
        <is>
          <t>Date</t>
        </is>
      </c>
      <c r="B1" s="50" t="inlineStr">
        <is>
          <t>Opening cash</t>
        </is>
      </c>
      <c r="C1" s="50" t="inlineStr">
        <is>
          <t>Cash sales</t>
        </is>
      </c>
      <c r="D1" s="50" t="inlineStr">
        <is>
          <t>Credit cash collected</t>
        </is>
      </c>
      <c r="E1" s="50" t="inlineStr">
        <is>
          <t>Expenses paid</t>
        </is>
      </c>
      <c r="F1" s="50" t="inlineStr">
        <is>
          <t>Creditor payments</t>
        </is>
      </c>
      <c r="G1" s="50" t="inlineStr">
        <is>
          <t>Closing cash</t>
        </is>
      </c>
      <c r="H1" s="50" t="inlineStr">
        <is>
          <t>Total stock on hand</t>
        </is>
      </c>
      <c r="I1" s="50" t="inlineStr">
        <is>
          <t>Credit sales outstanding</t>
        </is>
      </c>
      <c r="J1" s="50" t="inlineStr">
        <is>
          <t>Creditors outstanding</t>
        </is>
      </c>
      <c r="K1" s="50" t="inlineStr">
        <is>
          <t>Notes</t>
        </is>
      </c>
    </row>
    <row r="2">
      <c r="A2" s="52" t="n"/>
      <c r="B2" s="51">
        <f>'Cash Position'!$B$3</f>
        <v/>
      </c>
      <c r="C2" s="51">
        <f>IF(A2="","",SUMIFS('Daily Sales Log'!$J:$J,'Daily Sales Log'!$A:$A,A2))</f>
        <v/>
      </c>
      <c r="D2" s="51">
        <f>IF(A2="","",SUMIFS('Credit Sales Tracker'!$H:$H,'Credit Sales Tracker'!$I:$I,A2))</f>
        <v/>
      </c>
      <c r="E2" s="51">
        <f>IF(A2="","",SUMIFS('Daily Expenses Log'!$E:$E,'Daily Expenses Log'!$A:$A,A2))</f>
        <v/>
      </c>
      <c r="F2" s="51">
        <f>IF(A2="","",SUMIFS('Creditors Tracker'!$F:$F,'Creditors Tracker'!$G:$G,A2))</f>
        <v/>
      </c>
      <c r="G2" s="51">
        <f>IF(A2="","",B2+C2+D2-E2-F2)</f>
        <v/>
      </c>
      <c r="H2" s="51">
        <f>IF(A2="","",SUM('Stock Master'!$J$2:$J$49))</f>
        <v/>
      </c>
      <c r="I2" s="51">
        <f>IF(A2="","",SUM('Credit Sales Tracker'!$J$2:$J$501))</f>
        <v/>
      </c>
      <c r="J2" s="51">
        <f>IF(A2="","",SUM('Creditors Tracker'!$H$2:$H$501))</f>
        <v/>
      </c>
      <c r="K2" s="49" t="n"/>
    </row>
    <row r="3">
      <c r="A3" s="52" t="n"/>
      <c r="B3" s="51">
        <f>IF(A3="","",G2)</f>
        <v/>
      </c>
      <c r="C3" s="51">
        <f>IF(A3="","",SUMIFS('Daily Sales Log'!$J:$J,'Daily Sales Log'!$A:$A,A3))</f>
        <v/>
      </c>
      <c r="D3" s="51">
        <f>IF(A3="","",SUMIFS('Credit Sales Tracker'!$H:$H,'Credit Sales Tracker'!$I:$I,A3))</f>
        <v/>
      </c>
      <c r="E3" s="51">
        <f>IF(A3="","",SUMIFS('Daily Expenses Log'!$E:$E,'Daily Expenses Log'!$A:$A,A3))</f>
        <v/>
      </c>
      <c r="F3" s="51">
        <f>IF(A3="","",SUMIFS('Creditors Tracker'!$F:$F,'Creditors Tracker'!$G:$G,A3))</f>
        <v/>
      </c>
      <c r="G3" s="51">
        <f>IF(A3="","",B3+C3+D3-E3-F3)</f>
        <v/>
      </c>
      <c r="H3" s="51">
        <f>IF(A3="","",SUM('Stock Master'!$J$2:$J$49))</f>
        <v/>
      </c>
      <c r="I3" s="51">
        <f>IF(A3="","",SUM('Credit Sales Tracker'!$J$2:$J$501))</f>
        <v/>
      </c>
      <c r="J3" s="51">
        <f>IF(A3="","",SUM('Creditors Tracker'!$H$2:$H$501))</f>
        <v/>
      </c>
      <c r="K3" s="49" t="n"/>
    </row>
    <row r="4">
      <c r="A4" s="52" t="n"/>
      <c r="B4" s="51">
        <f>IF(A4="","",G3)</f>
        <v/>
      </c>
      <c r="C4" s="51">
        <f>IF(A4="","",SUMIFS('Daily Sales Log'!$J:$J,'Daily Sales Log'!$A:$A,A4))</f>
        <v/>
      </c>
      <c r="D4" s="51">
        <f>IF(A4="","",SUMIFS('Credit Sales Tracker'!$H:$H,'Credit Sales Tracker'!$I:$I,A4))</f>
        <v/>
      </c>
      <c r="E4" s="51">
        <f>IF(A4="","",SUMIFS('Daily Expenses Log'!$E:$E,'Daily Expenses Log'!$A:$A,A4))</f>
        <v/>
      </c>
      <c r="F4" s="51">
        <f>IF(A4="","",SUMIFS('Creditors Tracker'!$F:$F,'Creditors Tracker'!$G:$G,A4))</f>
        <v/>
      </c>
      <c r="G4" s="51">
        <f>IF(A4="","",B4+C4+D4-E4-F4)</f>
        <v/>
      </c>
      <c r="H4" s="51">
        <f>IF(A4="","",SUM('Stock Master'!$J$2:$J$49))</f>
        <v/>
      </c>
      <c r="I4" s="51">
        <f>IF(A4="","",SUM('Credit Sales Tracker'!$J$2:$J$501))</f>
        <v/>
      </c>
      <c r="J4" s="51">
        <f>IF(A4="","",SUM('Creditors Tracker'!$H$2:$H$501))</f>
        <v/>
      </c>
      <c r="K4" s="49" t="n"/>
    </row>
    <row r="5">
      <c r="A5" s="52" t="n"/>
      <c r="B5" s="51">
        <f>IF(A5="","",G4)</f>
        <v/>
      </c>
      <c r="C5" s="51">
        <f>IF(A5="","",SUMIFS('Daily Sales Log'!$J:$J,'Daily Sales Log'!$A:$A,A5))</f>
        <v/>
      </c>
      <c r="D5" s="51">
        <f>IF(A5="","",SUMIFS('Credit Sales Tracker'!$H:$H,'Credit Sales Tracker'!$I:$I,A5))</f>
        <v/>
      </c>
      <c r="E5" s="51">
        <f>IF(A5="","",SUMIFS('Daily Expenses Log'!$E:$E,'Daily Expenses Log'!$A:$A,A5))</f>
        <v/>
      </c>
      <c r="F5" s="51">
        <f>IF(A5="","",SUMIFS('Creditors Tracker'!$F:$F,'Creditors Tracker'!$G:$G,A5))</f>
        <v/>
      </c>
      <c r="G5" s="51">
        <f>IF(A5="","",B5+C5+D5-E5-F5)</f>
        <v/>
      </c>
      <c r="H5" s="51">
        <f>IF(A5="","",SUM('Stock Master'!$J$2:$J$49))</f>
        <v/>
      </c>
      <c r="I5" s="51">
        <f>IF(A5="","",SUM('Credit Sales Tracker'!$J$2:$J$501))</f>
        <v/>
      </c>
      <c r="J5" s="51">
        <f>IF(A5="","",SUM('Creditors Tracker'!$H$2:$H$501))</f>
        <v/>
      </c>
      <c r="K5" s="49" t="n"/>
    </row>
    <row r="6">
      <c r="A6" s="52" t="n"/>
      <c r="B6" s="51">
        <f>IF(A6="","",G5)</f>
        <v/>
      </c>
      <c r="C6" s="51">
        <f>IF(A6="","",SUMIFS('Daily Sales Log'!$J:$J,'Daily Sales Log'!$A:$A,A6))</f>
        <v/>
      </c>
      <c r="D6" s="51">
        <f>IF(A6="","",SUMIFS('Credit Sales Tracker'!$H:$H,'Credit Sales Tracker'!$I:$I,A6))</f>
        <v/>
      </c>
      <c r="E6" s="51">
        <f>IF(A6="","",SUMIFS('Daily Expenses Log'!$E:$E,'Daily Expenses Log'!$A:$A,A6))</f>
        <v/>
      </c>
      <c r="F6" s="51">
        <f>IF(A6="","",SUMIFS('Creditors Tracker'!$F:$F,'Creditors Tracker'!$G:$G,A6))</f>
        <v/>
      </c>
      <c r="G6" s="51">
        <f>IF(A6="","",B6+C6+D6-E6-F6)</f>
        <v/>
      </c>
      <c r="H6" s="51">
        <f>IF(A6="","",SUM('Stock Master'!$J$2:$J$49))</f>
        <v/>
      </c>
      <c r="I6" s="51">
        <f>IF(A6="","",SUM('Credit Sales Tracker'!$J$2:$J$501))</f>
        <v/>
      </c>
      <c r="J6" s="51">
        <f>IF(A6="","",SUM('Creditors Tracker'!$H$2:$H$501))</f>
        <v/>
      </c>
      <c r="K6" s="49" t="n"/>
    </row>
    <row r="7">
      <c r="A7" s="52" t="n"/>
      <c r="B7" s="51">
        <f>IF(A7="","",G6)</f>
        <v/>
      </c>
      <c r="C7" s="51">
        <f>IF(A7="","",SUMIFS('Daily Sales Log'!$J:$J,'Daily Sales Log'!$A:$A,A7))</f>
        <v/>
      </c>
      <c r="D7" s="51">
        <f>IF(A7="","",SUMIFS('Credit Sales Tracker'!$H:$H,'Credit Sales Tracker'!$I:$I,A7))</f>
        <v/>
      </c>
      <c r="E7" s="51">
        <f>IF(A7="","",SUMIFS('Daily Expenses Log'!$E:$E,'Daily Expenses Log'!$A:$A,A7))</f>
        <v/>
      </c>
      <c r="F7" s="51">
        <f>IF(A7="","",SUMIFS('Creditors Tracker'!$F:$F,'Creditors Tracker'!$G:$G,A7))</f>
        <v/>
      </c>
      <c r="G7" s="51">
        <f>IF(A7="","",B7+C7+D7-E7-F7)</f>
        <v/>
      </c>
      <c r="H7" s="51">
        <f>IF(A7="","",SUM('Stock Master'!$J$2:$J$49))</f>
        <v/>
      </c>
      <c r="I7" s="51">
        <f>IF(A7="","",SUM('Credit Sales Tracker'!$J$2:$J$501))</f>
        <v/>
      </c>
      <c r="J7" s="51">
        <f>IF(A7="","",SUM('Creditors Tracker'!$H$2:$H$501))</f>
        <v/>
      </c>
      <c r="K7" s="49" t="n"/>
    </row>
    <row r="8">
      <c r="A8" s="52" t="n"/>
      <c r="B8" s="51">
        <f>IF(A8="","",G7)</f>
        <v/>
      </c>
      <c r="C8" s="51">
        <f>IF(A8="","",SUMIFS('Daily Sales Log'!$J:$J,'Daily Sales Log'!$A:$A,A8))</f>
        <v/>
      </c>
      <c r="D8" s="51">
        <f>IF(A8="","",SUMIFS('Credit Sales Tracker'!$H:$H,'Credit Sales Tracker'!$I:$I,A8))</f>
        <v/>
      </c>
      <c r="E8" s="51">
        <f>IF(A8="","",SUMIFS('Daily Expenses Log'!$E:$E,'Daily Expenses Log'!$A:$A,A8))</f>
        <v/>
      </c>
      <c r="F8" s="51">
        <f>IF(A8="","",SUMIFS('Creditors Tracker'!$F:$F,'Creditors Tracker'!$G:$G,A8))</f>
        <v/>
      </c>
      <c r="G8" s="51">
        <f>IF(A8="","",B8+C8+D8-E8-F8)</f>
        <v/>
      </c>
      <c r="H8" s="51">
        <f>IF(A8="","",SUM('Stock Master'!$J$2:$J$49))</f>
        <v/>
      </c>
      <c r="I8" s="51">
        <f>IF(A8="","",SUM('Credit Sales Tracker'!$J$2:$J$501))</f>
        <v/>
      </c>
      <c r="J8" s="51">
        <f>IF(A8="","",SUM('Creditors Tracker'!$H$2:$H$501))</f>
        <v/>
      </c>
      <c r="K8" s="49" t="n"/>
    </row>
    <row r="9">
      <c r="A9" s="52" t="n"/>
      <c r="B9" s="51">
        <f>IF(A9="","",G8)</f>
        <v/>
      </c>
      <c r="C9" s="51">
        <f>IF(A9="","",SUMIFS('Daily Sales Log'!$J:$J,'Daily Sales Log'!$A:$A,A9))</f>
        <v/>
      </c>
      <c r="D9" s="51">
        <f>IF(A9="","",SUMIFS('Credit Sales Tracker'!$H:$H,'Credit Sales Tracker'!$I:$I,A9))</f>
        <v/>
      </c>
      <c r="E9" s="51">
        <f>IF(A9="","",SUMIFS('Daily Expenses Log'!$E:$E,'Daily Expenses Log'!$A:$A,A9))</f>
        <v/>
      </c>
      <c r="F9" s="51">
        <f>IF(A9="","",SUMIFS('Creditors Tracker'!$F:$F,'Creditors Tracker'!$G:$G,A9))</f>
        <v/>
      </c>
      <c r="G9" s="51">
        <f>IF(A9="","",B9+C9+D9-E9-F9)</f>
        <v/>
      </c>
      <c r="H9" s="51">
        <f>IF(A9="","",SUM('Stock Master'!$J$2:$J$49))</f>
        <v/>
      </c>
      <c r="I9" s="51">
        <f>IF(A9="","",SUM('Credit Sales Tracker'!$J$2:$J$501))</f>
        <v/>
      </c>
      <c r="J9" s="51">
        <f>IF(A9="","",SUM('Creditors Tracker'!$H$2:$H$501))</f>
        <v/>
      </c>
      <c r="K9" s="49" t="n"/>
    </row>
    <row r="10">
      <c r="A10" s="52" t="n"/>
      <c r="B10" s="51">
        <f>IF(A10="","",G9)</f>
        <v/>
      </c>
      <c r="C10" s="51">
        <f>IF(A10="","",SUMIFS('Daily Sales Log'!$J:$J,'Daily Sales Log'!$A:$A,A10))</f>
        <v/>
      </c>
      <c r="D10" s="51">
        <f>IF(A10="","",SUMIFS('Credit Sales Tracker'!$H:$H,'Credit Sales Tracker'!$I:$I,A10))</f>
        <v/>
      </c>
      <c r="E10" s="51">
        <f>IF(A10="","",SUMIFS('Daily Expenses Log'!$E:$E,'Daily Expenses Log'!$A:$A,A10))</f>
        <v/>
      </c>
      <c r="F10" s="51">
        <f>IF(A10="","",SUMIFS('Creditors Tracker'!$F:$F,'Creditors Tracker'!$G:$G,A10))</f>
        <v/>
      </c>
      <c r="G10" s="51">
        <f>IF(A10="","",B10+C10+D10-E10-F10)</f>
        <v/>
      </c>
      <c r="H10" s="51">
        <f>IF(A10="","",SUM('Stock Master'!$J$2:$J$49))</f>
        <v/>
      </c>
      <c r="I10" s="51">
        <f>IF(A10="","",SUM('Credit Sales Tracker'!$J$2:$J$501))</f>
        <v/>
      </c>
      <c r="J10" s="51">
        <f>IF(A10="","",SUM('Creditors Tracker'!$H$2:$H$501))</f>
        <v/>
      </c>
      <c r="K10" s="49" t="n"/>
    </row>
    <row r="11">
      <c r="A11" s="52" t="n"/>
      <c r="B11" s="51">
        <f>IF(A11="","",G10)</f>
        <v/>
      </c>
      <c r="C11" s="51">
        <f>IF(A11="","",SUMIFS('Daily Sales Log'!$J:$J,'Daily Sales Log'!$A:$A,A11))</f>
        <v/>
      </c>
      <c r="D11" s="51">
        <f>IF(A11="","",SUMIFS('Credit Sales Tracker'!$H:$H,'Credit Sales Tracker'!$I:$I,A11))</f>
        <v/>
      </c>
      <c r="E11" s="51">
        <f>IF(A11="","",SUMIFS('Daily Expenses Log'!$E:$E,'Daily Expenses Log'!$A:$A,A11))</f>
        <v/>
      </c>
      <c r="F11" s="51">
        <f>IF(A11="","",SUMIFS('Creditors Tracker'!$F:$F,'Creditors Tracker'!$G:$G,A11))</f>
        <v/>
      </c>
      <c r="G11" s="51">
        <f>IF(A11="","",B11+C11+D11-E11-F11)</f>
        <v/>
      </c>
      <c r="H11" s="51">
        <f>IF(A11="","",SUM('Stock Master'!$J$2:$J$49))</f>
        <v/>
      </c>
      <c r="I11" s="51">
        <f>IF(A11="","",SUM('Credit Sales Tracker'!$J$2:$J$501))</f>
        <v/>
      </c>
      <c r="J11" s="51">
        <f>IF(A11="","",SUM('Creditors Tracker'!$H$2:$H$501))</f>
        <v/>
      </c>
      <c r="K11" s="49" t="n"/>
    </row>
    <row r="12">
      <c r="A12" s="52" t="n"/>
      <c r="B12" s="51">
        <f>IF(A12="","",G11)</f>
        <v/>
      </c>
      <c r="C12" s="51">
        <f>IF(A12="","",SUMIFS('Daily Sales Log'!$J:$J,'Daily Sales Log'!$A:$A,A12))</f>
        <v/>
      </c>
      <c r="D12" s="51">
        <f>IF(A12="","",SUMIFS('Credit Sales Tracker'!$H:$H,'Credit Sales Tracker'!$I:$I,A12))</f>
        <v/>
      </c>
      <c r="E12" s="51">
        <f>IF(A12="","",SUMIFS('Daily Expenses Log'!$E:$E,'Daily Expenses Log'!$A:$A,A12))</f>
        <v/>
      </c>
      <c r="F12" s="51">
        <f>IF(A12="","",SUMIFS('Creditors Tracker'!$F:$F,'Creditors Tracker'!$G:$G,A12))</f>
        <v/>
      </c>
      <c r="G12" s="51">
        <f>IF(A12="","",B12+C12+D12-E12-F12)</f>
        <v/>
      </c>
      <c r="H12" s="51">
        <f>IF(A12="","",SUM('Stock Master'!$J$2:$J$49))</f>
        <v/>
      </c>
      <c r="I12" s="51">
        <f>IF(A12="","",SUM('Credit Sales Tracker'!$J$2:$J$501))</f>
        <v/>
      </c>
      <c r="J12" s="51">
        <f>IF(A12="","",SUM('Creditors Tracker'!$H$2:$H$501))</f>
        <v/>
      </c>
      <c r="K12" s="49" t="n"/>
    </row>
    <row r="13">
      <c r="A13" s="52" t="n"/>
      <c r="B13" s="51">
        <f>IF(A13="","",G12)</f>
        <v/>
      </c>
      <c r="C13" s="51">
        <f>IF(A13="","",SUMIFS('Daily Sales Log'!$J:$J,'Daily Sales Log'!$A:$A,A13))</f>
        <v/>
      </c>
      <c r="D13" s="51">
        <f>IF(A13="","",SUMIFS('Credit Sales Tracker'!$H:$H,'Credit Sales Tracker'!$I:$I,A13))</f>
        <v/>
      </c>
      <c r="E13" s="51">
        <f>IF(A13="","",SUMIFS('Daily Expenses Log'!$E:$E,'Daily Expenses Log'!$A:$A,A13))</f>
        <v/>
      </c>
      <c r="F13" s="51">
        <f>IF(A13="","",SUMIFS('Creditors Tracker'!$F:$F,'Creditors Tracker'!$G:$G,A13))</f>
        <v/>
      </c>
      <c r="G13" s="51">
        <f>IF(A13="","",B13+C13+D13-E13-F13)</f>
        <v/>
      </c>
      <c r="H13" s="51">
        <f>IF(A13="","",SUM('Stock Master'!$J$2:$J$49))</f>
        <v/>
      </c>
      <c r="I13" s="51">
        <f>IF(A13="","",SUM('Credit Sales Tracker'!$J$2:$J$501))</f>
        <v/>
      </c>
      <c r="J13" s="51">
        <f>IF(A13="","",SUM('Creditors Tracker'!$H$2:$H$501))</f>
        <v/>
      </c>
      <c r="K13" s="49" t="n"/>
    </row>
    <row r="14">
      <c r="A14" s="52" t="n"/>
      <c r="B14" s="51">
        <f>IF(A14="","",G13)</f>
        <v/>
      </c>
      <c r="C14" s="51">
        <f>IF(A14="","",SUMIFS('Daily Sales Log'!$J:$J,'Daily Sales Log'!$A:$A,A14))</f>
        <v/>
      </c>
      <c r="D14" s="51">
        <f>IF(A14="","",SUMIFS('Credit Sales Tracker'!$H:$H,'Credit Sales Tracker'!$I:$I,A14))</f>
        <v/>
      </c>
      <c r="E14" s="51">
        <f>IF(A14="","",SUMIFS('Daily Expenses Log'!$E:$E,'Daily Expenses Log'!$A:$A,A14))</f>
        <v/>
      </c>
      <c r="F14" s="51">
        <f>IF(A14="","",SUMIFS('Creditors Tracker'!$F:$F,'Creditors Tracker'!$G:$G,A14))</f>
        <v/>
      </c>
      <c r="G14" s="51">
        <f>IF(A14="","",B14+C14+D14-E14-F14)</f>
        <v/>
      </c>
      <c r="H14" s="51">
        <f>IF(A14="","",SUM('Stock Master'!$J$2:$J$49))</f>
        <v/>
      </c>
      <c r="I14" s="51">
        <f>IF(A14="","",SUM('Credit Sales Tracker'!$J$2:$J$501))</f>
        <v/>
      </c>
      <c r="J14" s="51">
        <f>IF(A14="","",SUM('Creditors Tracker'!$H$2:$H$501))</f>
        <v/>
      </c>
      <c r="K14" s="49" t="n"/>
    </row>
    <row r="15">
      <c r="A15" s="52" t="n"/>
      <c r="B15" s="51">
        <f>IF(A15="","",G14)</f>
        <v/>
      </c>
      <c r="C15" s="51">
        <f>IF(A15="","",SUMIFS('Daily Sales Log'!$J:$J,'Daily Sales Log'!$A:$A,A15))</f>
        <v/>
      </c>
      <c r="D15" s="51">
        <f>IF(A15="","",SUMIFS('Credit Sales Tracker'!$H:$H,'Credit Sales Tracker'!$I:$I,A15))</f>
        <v/>
      </c>
      <c r="E15" s="51">
        <f>IF(A15="","",SUMIFS('Daily Expenses Log'!$E:$E,'Daily Expenses Log'!$A:$A,A15))</f>
        <v/>
      </c>
      <c r="F15" s="51">
        <f>IF(A15="","",SUMIFS('Creditors Tracker'!$F:$F,'Creditors Tracker'!$G:$G,A15))</f>
        <v/>
      </c>
      <c r="G15" s="51">
        <f>IF(A15="","",B15+C15+D15-E15-F15)</f>
        <v/>
      </c>
      <c r="H15" s="51">
        <f>IF(A15="","",SUM('Stock Master'!$J$2:$J$49))</f>
        <v/>
      </c>
      <c r="I15" s="51">
        <f>IF(A15="","",SUM('Credit Sales Tracker'!$J$2:$J$501))</f>
        <v/>
      </c>
      <c r="J15" s="51">
        <f>IF(A15="","",SUM('Creditors Tracker'!$H$2:$H$501))</f>
        <v/>
      </c>
      <c r="K15" s="49" t="n"/>
    </row>
    <row r="16">
      <c r="A16" s="52" t="n"/>
      <c r="B16" s="51">
        <f>IF(A16="","",G15)</f>
        <v/>
      </c>
      <c r="C16" s="51">
        <f>IF(A16="","",SUMIFS('Daily Sales Log'!$J:$J,'Daily Sales Log'!$A:$A,A16))</f>
        <v/>
      </c>
      <c r="D16" s="51">
        <f>IF(A16="","",SUMIFS('Credit Sales Tracker'!$H:$H,'Credit Sales Tracker'!$I:$I,A16))</f>
        <v/>
      </c>
      <c r="E16" s="51">
        <f>IF(A16="","",SUMIFS('Daily Expenses Log'!$E:$E,'Daily Expenses Log'!$A:$A,A16))</f>
        <v/>
      </c>
      <c r="F16" s="51">
        <f>IF(A16="","",SUMIFS('Creditors Tracker'!$F:$F,'Creditors Tracker'!$G:$G,A16))</f>
        <v/>
      </c>
      <c r="G16" s="51">
        <f>IF(A16="","",B16+C16+D16-E16-F16)</f>
        <v/>
      </c>
      <c r="H16" s="51">
        <f>IF(A16="","",SUM('Stock Master'!$J$2:$J$49))</f>
        <v/>
      </c>
      <c r="I16" s="51">
        <f>IF(A16="","",SUM('Credit Sales Tracker'!$J$2:$J$501))</f>
        <v/>
      </c>
      <c r="J16" s="51">
        <f>IF(A16="","",SUM('Creditors Tracker'!$H$2:$H$501))</f>
        <v/>
      </c>
      <c r="K16" s="49" t="n"/>
    </row>
    <row r="17">
      <c r="A17" s="52" t="n"/>
      <c r="B17" s="51">
        <f>IF(A17="","",G16)</f>
        <v/>
      </c>
      <c r="C17" s="51">
        <f>IF(A17="","",SUMIFS('Daily Sales Log'!$J:$J,'Daily Sales Log'!$A:$A,A17))</f>
        <v/>
      </c>
      <c r="D17" s="51">
        <f>IF(A17="","",SUMIFS('Credit Sales Tracker'!$H:$H,'Credit Sales Tracker'!$I:$I,A17))</f>
        <v/>
      </c>
      <c r="E17" s="51">
        <f>IF(A17="","",SUMIFS('Daily Expenses Log'!$E:$E,'Daily Expenses Log'!$A:$A,A17))</f>
        <v/>
      </c>
      <c r="F17" s="51">
        <f>IF(A17="","",SUMIFS('Creditors Tracker'!$F:$F,'Creditors Tracker'!$G:$G,A17))</f>
        <v/>
      </c>
      <c r="G17" s="51">
        <f>IF(A17="","",B17+C17+D17-E17-F17)</f>
        <v/>
      </c>
      <c r="H17" s="51">
        <f>IF(A17="","",SUM('Stock Master'!$J$2:$J$49))</f>
        <v/>
      </c>
      <c r="I17" s="51">
        <f>IF(A17="","",SUM('Credit Sales Tracker'!$J$2:$J$501))</f>
        <v/>
      </c>
      <c r="J17" s="51">
        <f>IF(A17="","",SUM('Creditors Tracker'!$H$2:$H$501))</f>
        <v/>
      </c>
      <c r="K17" s="49" t="n"/>
    </row>
    <row r="18">
      <c r="A18" s="52" t="n"/>
      <c r="B18" s="51">
        <f>IF(A18="","",G17)</f>
        <v/>
      </c>
      <c r="C18" s="51">
        <f>IF(A18="","",SUMIFS('Daily Sales Log'!$J:$J,'Daily Sales Log'!$A:$A,A18))</f>
        <v/>
      </c>
      <c r="D18" s="51">
        <f>IF(A18="","",SUMIFS('Credit Sales Tracker'!$H:$H,'Credit Sales Tracker'!$I:$I,A18))</f>
        <v/>
      </c>
      <c r="E18" s="51">
        <f>IF(A18="","",SUMIFS('Daily Expenses Log'!$E:$E,'Daily Expenses Log'!$A:$A,A18))</f>
        <v/>
      </c>
      <c r="F18" s="51">
        <f>IF(A18="","",SUMIFS('Creditors Tracker'!$F:$F,'Creditors Tracker'!$G:$G,A18))</f>
        <v/>
      </c>
      <c r="G18" s="51">
        <f>IF(A18="","",B18+C18+D18-E18-F18)</f>
        <v/>
      </c>
      <c r="H18" s="51">
        <f>IF(A18="","",SUM('Stock Master'!$J$2:$J$49))</f>
        <v/>
      </c>
      <c r="I18" s="51">
        <f>IF(A18="","",SUM('Credit Sales Tracker'!$J$2:$J$501))</f>
        <v/>
      </c>
      <c r="J18" s="51">
        <f>IF(A18="","",SUM('Creditors Tracker'!$H$2:$H$501))</f>
        <v/>
      </c>
      <c r="K18" s="49" t="n"/>
    </row>
    <row r="19">
      <c r="A19" s="52" t="n"/>
      <c r="B19" s="51">
        <f>IF(A19="","",G18)</f>
        <v/>
      </c>
      <c r="C19" s="51">
        <f>IF(A19="","",SUMIFS('Daily Sales Log'!$J:$J,'Daily Sales Log'!$A:$A,A19))</f>
        <v/>
      </c>
      <c r="D19" s="51">
        <f>IF(A19="","",SUMIFS('Credit Sales Tracker'!$H:$H,'Credit Sales Tracker'!$I:$I,A19))</f>
        <v/>
      </c>
      <c r="E19" s="51">
        <f>IF(A19="","",SUMIFS('Daily Expenses Log'!$E:$E,'Daily Expenses Log'!$A:$A,A19))</f>
        <v/>
      </c>
      <c r="F19" s="51">
        <f>IF(A19="","",SUMIFS('Creditors Tracker'!$F:$F,'Creditors Tracker'!$G:$G,A19))</f>
        <v/>
      </c>
      <c r="G19" s="51">
        <f>IF(A19="","",B19+C19+D19-E19-F19)</f>
        <v/>
      </c>
      <c r="H19" s="51">
        <f>IF(A19="","",SUM('Stock Master'!$J$2:$J$49))</f>
        <v/>
      </c>
      <c r="I19" s="51">
        <f>IF(A19="","",SUM('Credit Sales Tracker'!$J$2:$J$501))</f>
        <v/>
      </c>
      <c r="J19" s="51">
        <f>IF(A19="","",SUM('Creditors Tracker'!$H$2:$H$501))</f>
        <v/>
      </c>
      <c r="K19" s="49" t="n"/>
    </row>
    <row r="20">
      <c r="A20" s="52" t="n"/>
      <c r="B20" s="51">
        <f>IF(A20="","",G19)</f>
        <v/>
      </c>
      <c r="C20" s="51">
        <f>IF(A20="","",SUMIFS('Daily Sales Log'!$J:$J,'Daily Sales Log'!$A:$A,A20))</f>
        <v/>
      </c>
      <c r="D20" s="51">
        <f>IF(A20="","",SUMIFS('Credit Sales Tracker'!$H:$H,'Credit Sales Tracker'!$I:$I,A20))</f>
        <v/>
      </c>
      <c r="E20" s="51">
        <f>IF(A20="","",SUMIFS('Daily Expenses Log'!$E:$E,'Daily Expenses Log'!$A:$A,A20))</f>
        <v/>
      </c>
      <c r="F20" s="51">
        <f>IF(A20="","",SUMIFS('Creditors Tracker'!$F:$F,'Creditors Tracker'!$G:$G,A20))</f>
        <v/>
      </c>
      <c r="G20" s="51">
        <f>IF(A20="","",B20+C20+D20-E20-F20)</f>
        <v/>
      </c>
      <c r="H20" s="51">
        <f>IF(A20="","",SUM('Stock Master'!$J$2:$J$49))</f>
        <v/>
      </c>
      <c r="I20" s="51">
        <f>IF(A20="","",SUM('Credit Sales Tracker'!$J$2:$J$501))</f>
        <v/>
      </c>
      <c r="J20" s="51">
        <f>IF(A20="","",SUM('Creditors Tracker'!$H$2:$H$501))</f>
        <v/>
      </c>
      <c r="K20" s="49" t="n"/>
    </row>
    <row r="21">
      <c r="A21" s="52" t="n"/>
      <c r="B21" s="51">
        <f>IF(A21="","",G20)</f>
        <v/>
      </c>
      <c r="C21" s="51">
        <f>IF(A21="","",SUMIFS('Daily Sales Log'!$J:$J,'Daily Sales Log'!$A:$A,A21))</f>
        <v/>
      </c>
      <c r="D21" s="51">
        <f>IF(A21="","",SUMIFS('Credit Sales Tracker'!$H:$H,'Credit Sales Tracker'!$I:$I,A21))</f>
        <v/>
      </c>
      <c r="E21" s="51">
        <f>IF(A21="","",SUMIFS('Daily Expenses Log'!$E:$E,'Daily Expenses Log'!$A:$A,A21))</f>
        <v/>
      </c>
      <c r="F21" s="51">
        <f>IF(A21="","",SUMIFS('Creditors Tracker'!$F:$F,'Creditors Tracker'!$G:$G,A21))</f>
        <v/>
      </c>
      <c r="G21" s="51">
        <f>IF(A21="","",B21+C21+D21-E21-F21)</f>
        <v/>
      </c>
      <c r="H21" s="51">
        <f>IF(A21="","",SUM('Stock Master'!$J$2:$J$49))</f>
        <v/>
      </c>
      <c r="I21" s="51">
        <f>IF(A21="","",SUM('Credit Sales Tracker'!$J$2:$J$501))</f>
        <v/>
      </c>
      <c r="J21" s="51">
        <f>IF(A21="","",SUM('Creditors Tracker'!$H$2:$H$501))</f>
        <v/>
      </c>
      <c r="K21" s="49" t="n"/>
    </row>
    <row r="22">
      <c r="A22" s="52" t="n"/>
      <c r="B22" s="51">
        <f>IF(A22="","",G21)</f>
        <v/>
      </c>
      <c r="C22" s="51">
        <f>IF(A22="","",SUMIFS('Daily Sales Log'!$J:$J,'Daily Sales Log'!$A:$A,A22))</f>
        <v/>
      </c>
      <c r="D22" s="51">
        <f>IF(A22="","",SUMIFS('Credit Sales Tracker'!$H:$H,'Credit Sales Tracker'!$I:$I,A22))</f>
        <v/>
      </c>
      <c r="E22" s="51">
        <f>IF(A22="","",SUMIFS('Daily Expenses Log'!$E:$E,'Daily Expenses Log'!$A:$A,A22))</f>
        <v/>
      </c>
      <c r="F22" s="51">
        <f>IF(A22="","",SUMIFS('Creditors Tracker'!$F:$F,'Creditors Tracker'!$G:$G,A22))</f>
        <v/>
      </c>
      <c r="G22" s="51">
        <f>IF(A22="","",B22+C22+D22-E22-F22)</f>
        <v/>
      </c>
      <c r="H22" s="51">
        <f>IF(A22="","",SUM('Stock Master'!$J$2:$J$49))</f>
        <v/>
      </c>
      <c r="I22" s="51">
        <f>IF(A22="","",SUM('Credit Sales Tracker'!$J$2:$J$501))</f>
        <v/>
      </c>
      <c r="J22" s="51">
        <f>IF(A22="","",SUM('Creditors Tracker'!$H$2:$H$501))</f>
        <v/>
      </c>
      <c r="K22" s="49" t="n"/>
    </row>
    <row r="23">
      <c r="A23" s="52" t="n"/>
      <c r="B23" s="51">
        <f>IF(A23="","",G22)</f>
        <v/>
      </c>
      <c r="C23" s="51">
        <f>IF(A23="","",SUMIFS('Daily Sales Log'!$J:$J,'Daily Sales Log'!$A:$A,A23))</f>
        <v/>
      </c>
      <c r="D23" s="51">
        <f>IF(A23="","",SUMIFS('Credit Sales Tracker'!$H:$H,'Credit Sales Tracker'!$I:$I,A23))</f>
        <v/>
      </c>
      <c r="E23" s="51">
        <f>IF(A23="","",SUMIFS('Daily Expenses Log'!$E:$E,'Daily Expenses Log'!$A:$A,A23))</f>
        <v/>
      </c>
      <c r="F23" s="51">
        <f>IF(A23="","",SUMIFS('Creditors Tracker'!$F:$F,'Creditors Tracker'!$G:$G,A23))</f>
        <v/>
      </c>
      <c r="G23" s="51">
        <f>IF(A23="","",B23+C23+D23-E23-F23)</f>
        <v/>
      </c>
      <c r="H23" s="51">
        <f>IF(A23="","",SUM('Stock Master'!$J$2:$J$49))</f>
        <v/>
      </c>
      <c r="I23" s="51">
        <f>IF(A23="","",SUM('Credit Sales Tracker'!$J$2:$J$501))</f>
        <v/>
      </c>
      <c r="J23" s="51">
        <f>IF(A23="","",SUM('Creditors Tracker'!$H$2:$H$501))</f>
        <v/>
      </c>
      <c r="K23" s="49" t="n"/>
    </row>
    <row r="24">
      <c r="A24" s="52" t="n"/>
      <c r="B24" s="51">
        <f>IF(A24="","",G23)</f>
        <v/>
      </c>
      <c r="C24" s="51">
        <f>IF(A24="","",SUMIFS('Daily Sales Log'!$J:$J,'Daily Sales Log'!$A:$A,A24))</f>
        <v/>
      </c>
      <c r="D24" s="51">
        <f>IF(A24="","",SUMIFS('Credit Sales Tracker'!$H:$H,'Credit Sales Tracker'!$I:$I,A24))</f>
        <v/>
      </c>
      <c r="E24" s="51">
        <f>IF(A24="","",SUMIFS('Daily Expenses Log'!$E:$E,'Daily Expenses Log'!$A:$A,A24))</f>
        <v/>
      </c>
      <c r="F24" s="51">
        <f>IF(A24="","",SUMIFS('Creditors Tracker'!$F:$F,'Creditors Tracker'!$G:$G,A24))</f>
        <v/>
      </c>
      <c r="G24" s="51">
        <f>IF(A24="","",B24+C24+D24-E24-F24)</f>
        <v/>
      </c>
      <c r="H24" s="51">
        <f>IF(A24="","",SUM('Stock Master'!$J$2:$J$49))</f>
        <v/>
      </c>
      <c r="I24" s="51">
        <f>IF(A24="","",SUM('Credit Sales Tracker'!$J$2:$J$501))</f>
        <v/>
      </c>
      <c r="J24" s="51">
        <f>IF(A24="","",SUM('Creditors Tracker'!$H$2:$H$501))</f>
        <v/>
      </c>
      <c r="K24" s="49" t="n"/>
    </row>
    <row r="25">
      <c r="A25" s="52" t="n"/>
      <c r="B25" s="51">
        <f>IF(A25="","",G24)</f>
        <v/>
      </c>
      <c r="C25" s="51">
        <f>IF(A25="","",SUMIFS('Daily Sales Log'!$J:$J,'Daily Sales Log'!$A:$A,A25))</f>
        <v/>
      </c>
      <c r="D25" s="51">
        <f>IF(A25="","",SUMIFS('Credit Sales Tracker'!$H:$H,'Credit Sales Tracker'!$I:$I,A25))</f>
        <v/>
      </c>
      <c r="E25" s="51">
        <f>IF(A25="","",SUMIFS('Daily Expenses Log'!$E:$E,'Daily Expenses Log'!$A:$A,A25))</f>
        <v/>
      </c>
      <c r="F25" s="51">
        <f>IF(A25="","",SUMIFS('Creditors Tracker'!$F:$F,'Creditors Tracker'!$G:$G,A25))</f>
        <v/>
      </c>
      <c r="G25" s="51">
        <f>IF(A25="","",B25+C25+D25-E25-F25)</f>
        <v/>
      </c>
      <c r="H25" s="51">
        <f>IF(A25="","",SUM('Stock Master'!$J$2:$J$49))</f>
        <v/>
      </c>
      <c r="I25" s="51">
        <f>IF(A25="","",SUM('Credit Sales Tracker'!$J$2:$J$501))</f>
        <v/>
      </c>
      <c r="J25" s="51">
        <f>IF(A25="","",SUM('Creditors Tracker'!$H$2:$H$501))</f>
        <v/>
      </c>
      <c r="K25" s="49" t="n"/>
    </row>
    <row r="26">
      <c r="A26" s="52" t="n"/>
      <c r="B26" s="51">
        <f>IF(A26="","",G25)</f>
        <v/>
      </c>
      <c r="C26" s="51">
        <f>IF(A26="","",SUMIFS('Daily Sales Log'!$J:$J,'Daily Sales Log'!$A:$A,A26))</f>
        <v/>
      </c>
      <c r="D26" s="51">
        <f>IF(A26="","",SUMIFS('Credit Sales Tracker'!$H:$H,'Credit Sales Tracker'!$I:$I,A26))</f>
        <v/>
      </c>
      <c r="E26" s="51">
        <f>IF(A26="","",SUMIFS('Daily Expenses Log'!$E:$E,'Daily Expenses Log'!$A:$A,A26))</f>
        <v/>
      </c>
      <c r="F26" s="51">
        <f>IF(A26="","",SUMIFS('Creditors Tracker'!$F:$F,'Creditors Tracker'!$G:$G,A26))</f>
        <v/>
      </c>
      <c r="G26" s="51">
        <f>IF(A26="","",B26+C26+D26-E26-F26)</f>
        <v/>
      </c>
      <c r="H26" s="51">
        <f>IF(A26="","",SUM('Stock Master'!$J$2:$J$49))</f>
        <v/>
      </c>
      <c r="I26" s="51">
        <f>IF(A26="","",SUM('Credit Sales Tracker'!$J$2:$J$501))</f>
        <v/>
      </c>
      <c r="J26" s="51">
        <f>IF(A26="","",SUM('Creditors Tracker'!$H$2:$H$501))</f>
        <v/>
      </c>
      <c r="K26" s="49" t="n"/>
    </row>
    <row r="27">
      <c r="A27" s="52" t="n"/>
      <c r="B27" s="51">
        <f>IF(A27="","",G26)</f>
        <v/>
      </c>
      <c r="C27" s="51">
        <f>IF(A27="","",SUMIFS('Daily Sales Log'!$J:$J,'Daily Sales Log'!$A:$A,A27))</f>
        <v/>
      </c>
      <c r="D27" s="51">
        <f>IF(A27="","",SUMIFS('Credit Sales Tracker'!$H:$H,'Credit Sales Tracker'!$I:$I,A27))</f>
        <v/>
      </c>
      <c r="E27" s="51">
        <f>IF(A27="","",SUMIFS('Daily Expenses Log'!$E:$E,'Daily Expenses Log'!$A:$A,A27))</f>
        <v/>
      </c>
      <c r="F27" s="51">
        <f>IF(A27="","",SUMIFS('Creditors Tracker'!$F:$F,'Creditors Tracker'!$G:$G,A27))</f>
        <v/>
      </c>
      <c r="G27" s="51">
        <f>IF(A27="","",B27+C27+D27-E27-F27)</f>
        <v/>
      </c>
      <c r="H27" s="51">
        <f>IF(A27="","",SUM('Stock Master'!$J$2:$J$49))</f>
        <v/>
      </c>
      <c r="I27" s="51">
        <f>IF(A27="","",SUM('Credit Sales Tracker'!$J$2:$J$501))</f>
        <v/>
      </c>
      <c r="J27" s="51">
        <f>IF(A27="","",SUM('Creditors Tracker'!$H$2:$H$501))</f>
        <v/>
      </c>
      <c r="K27" s="49" t="n"/>
    </row>
    <row r="28">
      <c r="A28" s="52" t="n"/>
      <c r="B28" s="51">
        <f>IF(A28="","",G27)</f>
        <v/>
      </c>
      <c r="C28" s="51">
        <f>IF(A28="","",SUMIFS('Daily Sales Log'!$J:$J,'Daily Sales Log'!$A:$A,A28))</f>
        <v/>
      </c>
      <c r="D28" s="51">
        <f>IF(A28="","",SUMIFS('Credit Sales Tracker'!$H:$H,'Credit Sales Tracker'!$I:$I,A28))</f>
        <v/>
      </c>
      <c r="E28" s="51">
        <f>IF(A28="","",SUMIFS('Daily Expenses Log'!$E:$E,'Daily Expenses Log'!$A:$A,A28))</f>
        <v/>
      </c>
      <c r="F28" s="51">
        <f>IF(A28="","",SUMIFS('Creditors Tracker'!$F:$F,'Creditors Tracker'!$G:$G,A28))</f>
        <v/>
      </c>
      <c r="G28" s="51">
        <f>IF(A28="","",B28+C28+D28-E28-F28)</f>
        <v/>
      </c>
      <c r="H28" s="51">
        <f>IF(A28="","",SUM('Stock Master'!$J$2:$J$49))</f>
        <v/>
      </c>
      <c r="I28" s="51">
        <f>IF(A28="","",SUM('Credit Sales Tracker'!$J$2:$J$501))</f>
        <v/>
      </c>
      <c r="J28" s="51">
        <f>IF(A28="","",SUM('Creditors Tracker'!$H$2:$H$501))</f>
        <v/>
      </c>
      <c r="K28" s="49" t="n"/>
    </row>
    <row r="29">
      <c r="A29" s="52" t="n"/>
      <c r="B29" s="51">
        <f>IF(A29="","",G28)</f>
        <v/>
      </c>
      <c r="C29" s="51">
        <f>IF(A29="","",SUMIFS('Daily Sales Log'!$J:$J,'Daily Sales Log'!$A:$A,A29))</f>
        <v/>
      </c>
      <c r="D29" s="51">
        <f>IF(A29="","",SUMIFS('Credit Sales Tracker'!$H:$H,'Credit Sales Tracker'!$I:$I,A29))</f>
        <v/>
      </c>
      <c r="E29" s="51">
        <f>IF(A29="","",SUMIFS('Daily Expenses Log'!$E:$E,'Daily Expenses Log'!$A:$A,A29))</f>
        <v/>
      </c>
      <c r="F29" s="51">
        <f>IF(A29="","",SUMIFS('Creditors Tracker'!$F:$F,'Creditors Tracker'!$G:$G,A29))</f>
        <v/>
      </c>
      <c r="G29" s="51">
        <f>IF(A29="","",B29+C29+D29-E29-F29)</f>
        <v/>
      </c>
      <c r="H29" s="51">
        <f>IF(A29="","",SUM('Stock Master'!$J$2:$J$49))</f>
        <v/>
      </c>
      <c r="I29" s="51">
        <f>IF(A29="","",SUM('Credit Sales Tracker'!$J$2:$J$501))</f>
        <v/>
      </c>
      <c r="J29" s="51">
        <f>IF(A29="","",SUM('Creditors Tracker'!$H$2:$H$501))</f>
        <v/>
      </c>
      <c r="K29" s="49" t="n"/>
    </row>
    <row r="30">
      <c r="A30" s="52" t="n"/>
      <c r="B30" s="51">
        <f>IF(A30="","",G29)</f>
        <v/>
      </c>
      <c r="C30" s="51">
        <f>IF(A30="","",SUMIFS('Daily Sales Log'!$J:$J,'Daily Sales Log'!$A:$A,A30))</f>
        <v/>
      </c>
      <c r="D30" s="51">
        <f>IF(A30="","",SUMIFS('Credit Sales Tracker'!$H:$H,'Credit Sales Tracker'!$I:$I,A30))</f>
        <v/>
      </c>
      <c r="E30" s="51">
        <f>IF(A30="","",SUMIFS('Daily Expenses Log'!$E:$E,'Daily Expenses Log'!$A:$A,A30))</f>
        <v/>
      </c>
      <c r="F30" s="51">
        <f>IF(A30="","",SUMIFS('Creditors Tracker'!$F:$F,'Creditors Tracker'!$G:$G,A30))</f>
        <v/>
      </c>
      <c r="G30" s="51">
        <f>IF(A30="","",B30+C30+D30-E30-F30)</f>
        <v/>
      </c>
      <c r="H30" s="51">
        <f>IF(A30="","",SUM('Stock Master'!$J$2:$J$49))</f>
        <v/>
      </c>
      <c r="I30" s="51">
        <f>IF(A30="","",SUM('Credit Sales Tracker'!$J$2:$J$501))</f>
        <v/>
      </c>
      <c r="J30" s="51">
        <f>IF(A30="","",SUM('Creditors Tracker'!$H$2:$H$501))</f>
        <v/>
      </c>
      <c r="K30" s="49" t="n"/>
    </row>
    <row r="31">
      <c r="A31" s="52" t="n"/>
      <c r="B31" s="51">
        <f>IF(A31="","",G30)</f>
        <v/>
      </c>
      <c r="C31" s="51">
        <f>IF(A31="","",SUMIFS('Daily Sales Log'!$J:$J,'Daily Sales Log'!$A:$A,A31))</f>
        <v/>
      </c>
      <c r="D31" s="51">
        <f>IF(A31="","",SUMIFS('Credit Sales Tracker'!$H:$H,'Credit Sales Tracker'!$I:$I,A31))</f>
        <v/>
      </c>
      <c r="E31" s="51">
        <f>IF(A31="","",SUMIFS('Daily Expenses Log'!$E:$E,'Daily Expenses Log'!$A:$A,A31))</f>
        <v/>
      </c>
      <c r="F31" s="51">
        <f>IF(A31="","",SUMIFS('Creditors Tracker'!$F:$F,'Creditors Tracker'!$G:$G,A31))</f>
        <v/>
      </c>
      <c r="G31" s="51">
        <f>IF(A31="","",B31+C31+D31-E31-F31)</f>
        <v/>
      </c>
      <c r="H31" s="51">
        <f>IF(A31="","",SUM('Stock Master'!$J$2:$J$49))</f>
        <v/>
      </c>
      <c r="I31" s="51">
        <f>IF(A31="","",SUM('Credit Sales Tracker'!$J$2:$J$501))</f>
        <v/>
      </c>
      <c r="J31" s="51">
        <f>IF(A31="","",SUM('Creditors Tracker'!$H$2:$H$501))</f>
        <v/>
      </c>
      <c r="K31" s="49" t="n"/>
    </row>
    <row r="32">
      <c r="A32" s="52" t="n"/>
      <c r="B32" s="51">
        <f>IF(A32="","",G31)</f>
        <v/>
      </c>
      <c r="C32" s="51">
        <f>IF(A32="","",SUMIFS('Daily Sales Log'!$J:$J,'Daily Sales Log'!$A:$A,A32))</f>
        <v/>
      </c>
      <c r="D32" s="51">
        <f>IF(A32="","",SUMIFS('Credit Sales Tracker'!$H:$H,'Credit Sales Tracker'!$I:$I,A32))</f>
        <v/>
      </c>
      <c r="E32" s="51">
        <f>IF(A32="","",SUMIFS('Daily Expenses Log'!$E:$E,'Daily Expenses Log'!$A:$A,A32))</f>
        <v/>
      </c>
      <c r="F32" s="51">
        <f>IF(A32="","",SUMIFS('Creditors Tracker'!$F:$F,'Creditors Tracker'!$G:$G,A32))</f>
        <v/>
      </c>
      <c r="G32" s="51">
        <f>IF(A32="","",B32+C32+D32-E32-F32)</f>
        <v/>
      </c>
      <c r="H32" s="51">
        <f>IF(A32="","",SUM('Stock Master'!$J$2:$J$49))</f>
        <v/>
      </c>
      <c r="I32" s="51">
        <f>IF(A32="","",SUM('Credit Sales Tracker'!$J$2:$J$501))</f>
        <v/>
      </c>
      <c r="J32" s="51">
        <f>IF(A32="","",SUM('Creditors Tracker'!$H$2:$H$501))</f>
        <v/>
      </c>
      <c r="K32" s="49" t="n"/>
    </row>
    <row r="33">
      <c r="A33" s="52" t="n"/>
      <c r="B33" s="51">
        <f>IF(A33="","",G32)</f>
        <v/>
      </c>
      <c r="C33" s="51">
        <f>IF(A33="","",SUMIFS('Daily Sales Log'!$J:$J,'Daily Sales Log'!$A:$A,A33))</f>
        <v/>
      </c>
      <c r="D33" s="51">
        <f>IF(A33="","",SUMIFS('Credit Sales Tracker'!$H:$H,'Credit Sales Tracker'!$I:$I,A33))</f>
        <v/>
      </c>
      <c r="E33" s="51">
        <f>IF(A33="","",SUMIFS('Daily Expenses Log'!$E:$E,'Daily Expenses Log'!$A:$A,A33))</f>
        <v/>
      </c>
      <c r="F33" s="51">
        <f>IF(A33="","",SUMIFS('Creditors Tracker'!$F:$F,'Creditors Tracker'!$G:$G,A33))</f>
        <v/>
      </c>
      <c r="G33" s="51">
        <f>IF(A33="","",B33+C33+D33-E33-F33)</f>
        <v/>
      </c>
      <c r="H33" s="51">
        <f>IF(A33="","",SUM('Stock Master'!$J$2:$J$49))</f>
        <v/>
      </c>
      <c r="I33" s="51">
        <f>IF(A33="","",SUM('Credit Sales Tracker'!$J$2:$J$501))</f>
        <v/>
      </c>
      <c r="J33" s="51">
        <f>IF(A33="","",SUM('Creditors Tracker'!$H$2:$H$501))</f>
        <v/>
      </c>
      <c r="K33" s="49" t="n"/>
    </row>
    <row r="34">
      <c r="A34" s="52" t="n"/>
      <c r="B34" s="51">
        <f>IF(A34="","",G33)</f>
        <v/>
      </c>
      <c r="C34" s="51">
        <f>IF(A34="","",SUMIFS('Daily Sales Log'!$J:$J,'Daily Sales Log'!$A:$A,A34))</f>
        <v/>
      </c>
      <c r="D34" s="51">
        <f>IF(A34="","",SUMIFS('Credit Sales Tracker'!$H:$H,'Credit Sales Tracker'!$I:$I,A34))</f>
        <v/>
      </c>
      <c r="E34" s="51">
        <f>IF(A34="","",SUMIFS('Daily Expenses Log'!$E:$E,'Daily Expenses Log'!$A:$A,A34))</f>
        <v/>
      </c>
      <c r="F34" s="51">
        <f>IF(A34="","",SUMIFS('Creditors Tracker'!$F:$F,'Creditors Tracker'!$G:$G,A34))</f>
        <v/>
      </c>
      <c r="G34" s="51">
        <f>IF(A34="","",B34+C34+D34-E34-F34)</f>
        <v/>
      </c>
      <c r="H34" s="51">
        <f>IF(A34="","",SUM('Stock Master'!$J$2:$J$49))</f>
        <v/>
      </c>
      <c r="I34" s="51">
        <f>IF(A34="","",SUM('Credit Sales Tracker'!$J$2:$J$501))</f>
        <v/>
      </c>
      <c r="J34" s="51">
        <f>IF(A34="","",SUM('Creditors Tracker'!$H$2:$H$501))</f>
        <v/>
      </c>
      <c r="K34" s="49" t="n"/>
    </row>
    <row r="35">
      <c r="A35" s="52" t="n"/>
      <c r="B35" s="51">
        <f>IF(A35="","",G34)</f>
        <v/>
      </c>
      <c r="C35" s="51">
        <f>IF(A35="","",SUMIFS('Daily Sales Log'!$J:$J,'Daily Sales Log'!$A:$A,A35))</f>
        <v/>
      </c>
      <c r="D35" s="51">
        <f>IF(A35="","",SUMIFS('Credit Sales Tracker'!$H:$H,'Credit Sales Tracker'!$I:$I,A35))</f>
        <v/>
      </c>
      <c r="E35" s="51">
        <f>IF(A35="","",SUMIFS('Daily Expenses Log'!$E:$E,'Daily Expenses Log'!$A:$A,A35))</f>
        <v/>
      </c>
      <c r="F35" s="51">
        <f>IF(A35="","",SUMIFS('Creditors Tracker'!$F:$F,'Creditors Tracker'!$G:$G,A35))</f>
        <v/>
      </c>
      <c r="G35" s="51">
        <f>IF(A35="","",B35+C35+D35-E35-F35)</f>
        <v/>
      </c>
      <c r="H35" s="51">
        <f>IF(A35="","",SUM('Stock Master'!$J$2:$J$49))</f>
        <v/>
      </c>
      <c r="I35" s="51">
        <f>IF(A35="","",SUM('Credit Sales Tracker'!$J$2:$J$501))</f>
        <v/>
      </c>
      <c r="J35" s="51">
        <f>IF(A35="","",SUM('Creditors Tracker'!$H$2:$H$501))</f>
        <v/>
      </c>
      <c r="K35" s="49" t="n"/>
    </row>
    <row r="36">
      <c r="A36" s="52" t="n"/>
      <c r="B36" s="51">
        <f>IF(A36="","",G35)</f>
        <v/>
      </c>
      <c r="C36" s="51">
        <f>IF(A36="","",SUMIFS('Daily Sales Log'!$J:$J,'Daily Sales Log'!$A:$A,A36))</f>
        <v/>
      </c>
      <c r="D36" s="51">
        <f>IF(A36="","",SUMIFS('Credit Sales Tracker'!$H:$H,'Credit Sales Tracker'!$I:$I,A36))</f>
        <v/>
      </c>
      <c r="E36" s="51">
        <f>IF(A36="","",SUMIFS('Daily Expenses Log'!$E:$E,'Daily Expenses Log'!$A:$A,A36))</f>
        <v/>
      </c>
      <c r="F36" s="51">
        <f>IF(A36="","",SUMIFS('Creditors Tracker'!$F:$F,'Creditors Tracker'!$G:$G,A36))</f>
        <v/>
      </c>
      <c r="G36" s="51">
        <f>IF(A36="","",B36+C36+D36-E36-F36)</f>
        <v/>
      </c>
      <c r="H36" s="51">
        <f>IF(A36="","",SUM('Stock Master'!$J$2:$J$49))</f>
        <v/>
      </c>
      <c r="I36" s="51">
        <f>IF(A36="","",SUM('Credit Sales Tracker'!$J$2:$J$501))</f>
        <v/>
      </c>
      <c r="J36" s="51">
        <f>IF(A36="","",SUM('Creditors Tracker'!$H$2:$H$501))</f>
        <v/>
      </c>
      <c r="K36" s="49" t="n"/>
    </row>
    <row r="37">
      <c r="A37" s="52" t="n"/>
      <c r="B37" s="51">
        <f>IF(A37="","",G36)</f>
        <v/>
      </c>
      <c r="C37" s="51">
        <f>IF(A37="","",SUMIFS('Daily Sales Log'!$J:$J,'Daily Sales Log'!$A:$A,A37))</f>
        <v/>
      </c>
      <c r="D37" s="51">
        <f>IF(A37="","",SUMIFS('Credit Sales Tracker'!$H:$H,'Credit Sales Tracker'!$I:$I,A37))</f>
        <v/>
      </c>
      <c r="E37" s="51">
        <f>IF(A37="","",SUMIFS('Daily Expenses Log'!$E:$E,'Daily Expenses Log'!$A:$A,A37))</f>
        <v/>
      </c>
      <c r="F37" s="51">
        <f>IF(A37="","",SUMIFS('Creditors Tracker'!$F:$F,'Creditors Tracker'!$G:$G,A37))</f>
        <v/>
      </c>
      <c r="G37" s="51">
        <f>IF(A37="","",B37+C37+D37-E37-F37)</f>
        <v/>
      </c>
      <c r="H37" s="51">
        <f>IF(A37="","",SUM('Stock Master'!$J$2:$J$49))</f>
        <v/>
      </c>
      <c r="I37" s="51">
        <f>IF(A37="","",SUM('Credit Sales Tracker'!$J$2:$J$501))</f>
        <v/>
      </c>
      <c r="J37" s="51">
        <f>IF(A37="","",SUM('Creditors Tracker'!$H$2:$H$501))</f>
        <v/>
      </c>
      <c r="K37" s="49" t="n"/>
    </row>
    <row r="38">
      <c r="A38" s="52" t="n"/>
      <c r="B38" s="51">
        <f>IF(A38="","",G37)</f>
        <v/>
      </c>
      <c r="C38" s="51">
        <f>IF(A38="","",SUMIFS('Daily Sales Log'!$J:$J,'Daily Sales Log'!$A:$A,A38))</f>
        <v/>
      </c>
      <c r="D38" s="51">
        <f>IF(A38="","",SUMIFS('Credit Sales Tracker'!$H:$H,'Credit Sales Tracker'!$I:$I,A38))</f>
        <v/>
      </c>
      <c r="E38" s="51">
        <f>IF(A38="","",SUMIFS('Daily Expenses Log'!$E:$E,'Daily Expenses Log'!$A:$A,A38))</f>
        <v/>
      </c>
      <c r="F38" s="51">
        <f>IF(A38="","",SUMIFS('Creditors Tracker'!$F:$F,'Creditors Tracker'!$G:$G,A38))</f>
        <v/>
      </c>
      <c r="G38" s="51">
        <f>IF(A38="","",B38+C38+D38-E38-F38)</f>
        <v/>
      </c>
      <c r="H38" s="51">
        <f>IF(A38="","",SUM('Stock Master'!$J$2:$J$49))</f>
        <v/>
      </c>
      <c r="I38" s="51">
        <f>IF(A38="","",SUM('Credit Sales Tracker'!$J$2:$J$501))</f>
        <v/>
      </c>
      <c r="J38" s="51">
        <f>IF(A38="","",SUM('Creditors Tracker'!$H$2:$H$501))</f>
        <v/>
      </c>
      <c r="K38" s="49" t="n"/>
    </row>
    <row r="39">
      <c r="A39" s="52" t="n"/>
      <c r="B39" s="51">
        <f>IF(A39="","",G38)</f>
        <v/>
      </c>
      <c r="C39" s="51">
        <f>IF(A39="","",SUMIFS('Daily Sales Log'!$J:$J,'Daily Sales Log'!$A:$A,A39))</f>
        <v/>
      </c>
      <c r="D39" s="51">
        <f>IF(A39="","",SUMIFS('Credit Sales Tracker'!$H:$H,'Credit Sales Tracker'!$I:$I,A39))</f>
        <v/>
      </c>
      <c r="E39" s="51">
        <f>IF(A39="","",SUMIFS('Daily Expenses Log'!$E:$E,'Daily Expenses Log'!$A:$A,A39))</f>
        <v/>
      </c>
      <c r="F39" s="51">
        <f>IF(A39="","",SUMIFS('Creditors Tracker'!$F:$F,'Creditors Tracker'!$G:$G,A39))</f>
        <v/>
      </c>
      <c r="G39" s="51">
        <f>IF(A39="","",B39+C39+D39-E39-F39)</f>
        <v/>
      </c>
      <c r="H39" s="51">
        <f>IF(A39="","",SUM('Stock Master'!$J$2:$J$49))</f>
        <v/>
      </c>
      <c r="I39" s="51">
        <f>IF(A39="","",SUM('Credit Sales Tracker'!$J$2:$J$501))</f>
        <v/>
      </c>
      <c r="J39" s="51">
        <f>IF(A39="","",SUM('Creditors Tracker'!$H$2:$H$501))</f>
        <v/>
      </c>
      <c r="K39" s="49" t="n"/>
    </row>
    <row r="40">
      <c r="A40" s="52" t="n"/>
      <c r="B40" s="51">
        <f>IF(A40="","",G39)</f>
        <v/>
      </c>
      <c r="C40" s="51">
        <f>IF(A40="","",SUMIFS('Daily Sales Log'!$J:$J,'Daily Sales Log'!$A:$A,A40))</f>
        <v/>
      </c>
      <c r="D40" s="51">
        <f>IF(A40="","",SUMIFS('Credit Sales Tracker'!$H:$H,'Credit Sales Tracker'!$I:$I,A40))</f>
        <v/>
      </c>
      <c r="E40" s="51">
        <f>IF(A40="","",SUMIFS('Daily Expenses Log'!$E:$E,'Daily Expenses Log'!$A:$A,A40))</f>
        <v/>
      </c>
      <c r="F40" s="51">
        <f>IF(A40="","",SUMIFS('Creditors Tracker'!$F:$F,'Creditors Tracker'!$G:$G,A40))</f>
        <v/>
      </c>
      <c r="G40" s="51">
        <f>IF(A40="","",B40+C40+D40-E40-F40)</f>
        <v/>
      </c>
      <c r="H40" s="51">
        <f>IF(A40="","",SUM('Stock Master'!$J$2:$J$49))</f>
        <v/>
      </c>
      <c r="I40" s="51">
        <f>IF(A40="","",SUM('Credit Sales Tracker'!$J$2:$J$501))</f>
        <v/>
      </c>
      <c r="J40" s="51">
        <f>IF(A40="","",SUM('Creditors Tracker'!$H$2:$H$501))</f>
        <v/>
      </c>
      <c r="K40" s="49" t="n"/>
    </row>
    <row r="41">
      <c r="A41" s="52" t="n"/>
      <c r="B41" s="51">
        <f>IF(A41="","",G40)</f>
        <v/>
      </c>
      <c r="C41" s="51">
        <f>IF(A41="","",SUMIFS('Daily Sales Log'!$J:$J,'Daily Sales Log'!$A:$A,A41))</f>
        <v/>
      </c>
      <c r="D41" s="51">
        <f>IF(A41="","",SUMIFS('Credit Sales Tracker'!$H:$H,'Credit Sales Tracker'!$I:$I,A41))</f>
        <v/>
      </c>
      <c r="E41" s="51">
        <f>IF(A41="","",SUMIFS('Daily Expenses Log'!$E:$E,'Daily Expenses Log'!$A:$A,A41))</f>
        <v/>
      </c>
      <c r="F41" s="51">
        <f>IF(A41="","",SUMIFS('Creditors Tracker'!$F:$F,'Creditors Tracker'!$G:$G,A41))</f>
        <v/>
      </c>
      <c r="G41" s="51">
        <f>IF(A41="","",B41+C41+D41-E41-F41)</f>
        <v/>
      </c>
      <c r="H41" s="51">
        <f>IF(A41="","",SUM('Stock Master'!$J$2:$J$49))</f>
        <v/>
      </c>
      <c r="I41" s="51">
        <f>IF(A41="","",SUM('Credit Sales Tracker'!$J$2:$J$501))</f>
        <v/>
      </c>
      <c r="J41" s="51">
        <f>IF(A41="","",SUM('Creditors Tracker'!$H$2:$H$501))</f>
        <v/>
      </c>
      <c r="K41" s="49" t="n"/>
    </row>
    <row r="42">
      <c r="A42" s="52" t="n"/>
      <c r="B42" s="51">
        <f>IF(A42="","",G41)</f>
        <v/>
      </c>
      <c r="C42" s="51">
        <f>IF(A42="","",SUMIFS('Daily Sales Log'!$J:$J,'Daily Sales Log'!$A:$A,A42))</f>
        <v/>
      </c>
      <c r="D42" s="51">
        <f>IF(A42="","",SUMIFS('Credit Sales Tracker'!$H:$H,'Credit Sales Tracker'!$I:$I,A42))</f>
        <v/>
      </c>
      <c r="E42" s="51">
        <f>IF(A42="","",SUMIFS('Daily Expenses Log'!$E:$E,'Daily Expenses Log'!$A:$A,A42))</f>
        <v/>
      </c>
      <c r="F42" s="51">
        <f>IF(A42="","",SUMIFS('Creditors Tracker'!$F:$F,'Creditors Tracker'!$G:$G,A42))</f>
        <v/>
      </c>
      <c r="G42" s="51">
        <f>IF(A42="","",B42+C42+D42-E42-F42)</f>
        <v/>
      </c>
      <c r="H42" s="51">
        <f>IF(A42="","",SUM('Stock Master'!$J$2:$J$49))</f>
        <v/>
      </c>
      <c r="I42" s="51">
        <f>IF(A42="","",SUM('Credit Sales Tracker'!$J$2:$J$501))</f>
        <v/>
      </c>
      <c r="J42" s="51">
        <f>IF(A42="","",SUM('Creditors Tracker'!$H$2:$H$501))</f>
        <v/>
      </c>
      <c r="K42" s="49" t="n"/>
    </row>
    <row r="43">
      <c r="A43" s="52" t="n"/>
      <c r="B43" s="51">
        <f>IF(A43="","",G42)</f>
        <v/>
      </c>
      <c r="C43" s="51">
        <f>IF(A43="","",SUMIFS('Daily Sales Log'!$J:$J,'Daily Sales Log'!$A:$A,A43))</f>
        <v/>
      </c>
      <c r="D43" s="51">
        <f>IF(A43="","",SUMIFS('Credit Sales Tracker'!$H:$H,'Credit Sales Tracker'!$I:$I,A43))</f>
        <v/>
      </c>
      <c r="E43" s="51">
        <f>IF(A43="","",SUMIFS('Daily Expenses Log'!$E:$E,'Daily Expenses Log'!$A:$A,A43))</f>
        <v/>
      </c>
      <c r="F43" s="51">
        <f>IF(A43="","",SUMIFS('Creditors Tracker'!$F:$F,'Creditors Tracker'!$G:$G,A43))</f>
        <v/>
      </c>
      <c r="G43" s="51">
        <f>IF(A43="","",B43+C43+D43-E43-F43)</f>
        <v/>
      </c>
      <c r="H43" s="51">
        <f>IF(A43="","",SUM('Stock Master'!$J$2:$J$49))</f>
        <v/>
      </c>
      <c r="I43" s="51">
        <f>IF(A43="","",SUM('Credit Sales Tracker'!$J$2:$J$501))</f>
        <v/>
      </c>
      <c r="J43" s="51">
        <f>IF(A43="","",SUM('Creditors Tracker'!$H$2:$H$501))</f>
        <v/>
      </c>
      <c r="K43" s="49" t="n"/>
    </row>
    <row r="44">
      <c r="A44" s="52" t="n"/>
      <c r="B44" s="51">
        <f>IF(A44="","",G43)</f>
        <v/>
      </c>
      <c r="C44" s="51">
        <f>IF(A44="","",SUMIFS('Daily Sales Log'!$J:$J,'Daily Sales Log'!$A:$A,A44))</f>
        <v/>
      </c>
      <c r="D44" s="51">
        <f>IF(A44="","",SUMIFS('Credit Sales Tracker'!$H:$H,'Credit Sales Tracker'!$I:$I,A44))</f>
        <v/>
      </c>
      <c r="E44" s="51">
        <f>IF(A44="","",SUMIFS('Daily Expenses Log'!$E:$E,'Daily Expenses Log'!$A:$A,A44))</f>
        <v/>
      </c>
      <c r="F44" s="51">
        <f>IF(A44="","",SUMIFS('Creditors Tracker'!$F:$F,'Creditors Tracker'!$G:$G,A44))</f>
        <v/>
      </c>
      <c r="G44" s="51">
        <f>IF(A44="","",B44+C44+D44-E44-F44)</f>
        <v/>
      </c>
      <c r="H44" s="51">
        <f>IF(A44="","",SUM('Stock Master'!$J$2:$J$49))</f>
        <v/>
      </c>
      <c r="I44" s="51">
        <f>IF(A44="","",SUM('Credit Sales Tracker'!$J$2:$J$501))</f>
        <v/>
      </c>
      <c r="J44" s="51">
        <f>IF(A44="","",SUM('Creditors Tracker'!$H$2:$H$501))</f>
        <v/>
      </c>
      <c r="K44" s="49" t="n"/>
    </row>
    <row r="45">
      <c r="A45" s="52" t="n"/>
      <c r="B45" s="51">
        <f>IF(A45="","",G44)</f>
        <v/>
      </c>
      <c r="C45" s="51">
        <f>IF(A45="","",SUMIFS('Daily Sales Log'!$J:$J,'Daily Sales Log'!$A:$A,A45))</f>
        <v/>
      </c>
      <c r="D45" s="51">
        <f>IF(A45="","",SUMIFS('Credit Sales Tracker'!$H:$H,'Credit Sales Tracker'!$I:$I,A45))</f>
        <v/>
      </c>
      <c r="E45" s="51">
        <f>IF(A45="","",SUMIFS('Daily Expenses Log'!$E:$E,'Daily Expenses Log'!$A:$A,A45))</f>
        <v/>
      </c>
      <c r="F45" s="51">
        <f>IF(A45="","",SUMIFS('Creditors Tracker'!$F:$F,'Creditors Tracker'!$G:$G,A45))</f>
        <v/>
      </c>
      <c r="G45" s="51">
        <f>IF(A45="","",B45+C45+D45-E45-F45)</f>
        <v/>
      </c>
      <c r="H45" s="51">
        <f>IF(A45="","",SUM('Stock Master'!$J$2:$J$49))</f>
        <v/>
      </c>
      <c r="I45" s="51">
        <f>IF(A45="","",SUM('Credit Sales Tracker'!$J$2:$J$501))</f>
        <v/>
      </c>
      <c r="J45" s="51">
        <f>IF(A45="","",SUM('Creditors Tracker'!$H$2:$H$501))</f>
        <v/>
      </c>
      <c r="K45" s="49" t="n"/>
    </row>
    <row r="46">
      <c r="A46" s="52" t="n"/>
      <c r="B46" s="51">
        <f>IF(A46="","",G45)</f>
        <v/>
      </c>
      <c r="C46" s="51">
        <f>IF(A46="","",SUMIFS('Daily Sales Log'!$J:$J,'Daily Sales Log'!$A:$A,A46))</f>
        <v/>
      </c>
      <c r="D46" s="51">
        <f>IF(A46="","",SUMIFS('Credit Sales Tracker'!$H:$H,'Credit Sales Tracker'!$I:$I,A46))</f>
        <v/>
      </c>
      <c r="E46" s="51">
        <f>IF(A46="","",SUMIFS('Daily Expenses Log'!$E:$E,'Daily Expenses Log'!$A:$A,A46))</f>
        <v/>
      </c>
      <c r="F46" s="51">
        <f>IF(A46="","",SUMIFS('Creditors Tracker'!$F:$F,'Creditors Tracker'!$G:$G,A46))</f>
        <v/>
      </c>
      <c r="G46" s="51">
        <f>IF(A46="","",B46+C46+D46-E46-F46)</f>
        <v/>
      </c>
      <c r="H46" s="51">
        <f>IF(A46="","",SUM('Stock Master'!$J$2:$J$49))</f>
        <v/>
      </c>
      <c r="I46" s="51">
        <f>IF(A46="","",SUM('Credit Sales Tracker'!$J$2:$J$501))</f>
        <v/>
      </c>
      <c r="J46" s="51">
        <f>IF(A46="","",SUM('Creditors Tracker'!$H$2:$H$501))</f>
        <v/>
      </c>
      <c r="K46" s="49" t="n"/>
    </row>
    <row r="47">
      <c r="A47" s="52" t="n"/>
      <c r="B47" s="51">
        <f>IF(A47="","",G46)</f>
        <v/>
      </c>
      <c r="C47" s="51">
        <f>IF(A47="","",SUMIFS('Daily Sales Log'!$J:$J,'Daily Sales Log'!$A:$A,A47))</f>
        <v/>
      </c>
      <c r="D47" s="51">
        <f>IF(A47="","",SUMIFS('Credit Sales Tracker'!$H:$H,'Credit Sales Tracker'!$I:$I,A47))</f>
        <v/>
      </c>
      <c r="E47" s="51">
        <f>IF(A47="","",SUMIFS('Daily Expenses Log'!$E:$E,'Daily Expenses Log'!$A:$A,A47))</f>
        <v/>
      </c>
      <c r="F47" s="51">
        <f>IF(A47="","",SUMIFS('Creditors Tracker'!$F:$F,'Creditors Tracker'!$G:$G,A47))</f>
        <v/>
      </c>
      <c r="G47" s="51">
        <f>IF(A47="","",B47+C47+D47-E47-F47)</f>
        <v/>
      </c>
      <c r="H47" s="51">
        <f>IF(A47="","",SUM('Stock Master'!$J$2:$J$49))</f>
        <v/>
      </c>
      <c r="I47" s="51">
        <f>IF(A47="","",SUM('Credit Sales Tracker'!$J$2:$J$501))</f>
        <v/>
      </c>
      <c r="J47" s="51">
        <f>IF(A47="","",SUM('Creditors Tracker'!$H$2:$H$501))</f>
        <v/>
      </c>
      <c r="K47" s="49" t="n"/>
    </row>
    <row r="48">
      <c r="A48" s="52" t="n"/>
      <c r="B48" s="51">
        <f>IF(A48="","",G47)</f>
        <v/>
      </c>
      <c r="C48" s="51">
        <f>IF(A48="","",SUMIFS('Daily Sales Log'!$J:$J,'Daily Sales Log'!$A:$A,A48))</f>
        <v/>
      </c>
      <c r="D48" s="51">
        <f>IF(A48="","",SUMIFS('Credit Sales Tracker'!$H:$H,'Credit Sales Tracker'!$I:$I,A48))</f>
        <v/>
      </c>
      <c r="E48" s="51">
        <f>IF(A48="","",SUMIFS('Daily Expenses Log'!$E:$E,'Daily Expenses Log'!$A:$A,A48))</f>
        <v/>
      </c>
      <c r="F48" s="51">
        <f>IF(A48="","",SUMIFS('Creditors Tracker'!$F:$F,'Creditors Tracker'!$G:$G,A48))</f>
        <v/>
      </c>
      <c r="G48" s="51">
        <f>IF(A48="","",B48+C48+D48-E48-F48)</f>
        <v/>
      </c>
      <c r="H48" s="51">
        <f>IF(A48="","",SUM('Stock Master'!$J$2:$J$49))</f>
        <v/>
      </c>
      <c r="I48" s="51">
        <f>IF(A48="","",SUM('Credit Sales Tracker'!$J$2:$J$501))</f>
        <v/>
      </c>
      <c r="J48" s="51">
        <f>IF(A48="","",SUM('Creditors Tracker'!$H$2:$H$501))</f>
        <v/>
      </c>
      <c r="K48" s="49" t="n"/>
    </row>
    <row r="49">
      <c r="A49" s="52" t="n"/>
      <c r="B49" s="51">
        <f>IF(A49="","",G48)</f>
        <v/>
      </c>
      <c r="C49" s="51">
        <f>IF(A49="","",SUMIFS('Daily Sales Log'!$J:$J,'Daily Sales Log'!$A:$A,A49))</f>
        <v/>
      </c>
      <c r="D49" s="51">
        <f>IF(A49="","",SUMIFS('Credit Sales Tracker'!$H:$H,'Credit Sales Tracker'!$I:$I,A49))</f>
        <v/>
      </c>
      <c r="E49" s="51">
        <f>IF(A49="","",SUMIFS('Daily Expenses Log'!$E:$E,'Daily Expenses Log'!$A:$A,A49))</f>
        <v/>
      </c>
      <c r="F49" s="51">
        <f>IF(A49="","",SUMIFS('Creditors Tracker'!$F:$F,'Creditors Tracker'!$G:$G,A49))</f>
        <v/>
      </c>
      <c r="G49" s="51">
        <f>IF(A49="","",B49+C49+D49-E49-F49)</f>
        <v/>
      </c>
      <c r="H49" s="51">
        <f>IF(A49="","",SUM('Stock Master'!$J$2:$J$49))</f>
        <v/>
      </c>
      <c r="I49" s="51">
        <f>IF(A49="","",SUM('Credit Sales Tracker'!$J$2:$J$501))</f>
        <v/>
      </c>
      <c r="J49" s="51">
        <f>IF(A49="","",SUM('Creditors Tracker'!$H$2:$H$501))</f>
        <v/>
      </c>
      <c r="K49" s="49" t="n"/>
    </row>
    <row r="50">
      <c r="A50" s="52" t="n"/>
      <c r="B50" s="51">
        <f>IF(A50="","",G49)</f>
        <v/>
      </c>
      <c r="C50" s="51">
        <f>IF(A50="","",SUMIFS('Daily Sales Log'!$J:$J,'Daily Sales Log'!$A:$A,A50))</f>
        <v/>
      </c>
      <c r="D50" s="51">
        <f>IF(A50="","",SUMIFS('Credit Sales Tracker'!$H:$H,'Credit Sales Tracker'!$I:$I,A50))</f>
        <v/>
      </c>
      <c r="E50" s="51">
        <f>IF(A50="","",SUMIFS('Daily Expenses Log'!$E:$E,'Daily Expenses Log'!$A:$A,A50))</f>
        <v/>
      </c>
      <c r="F50" s="51">
        <f>IF(A50="","",SUMIFS('Creditors Tracker'!$F:$F,'Creditors Tracker'!$G:$G,A50))</f>
        <v/>
      </c>
      <c r="G50" s="51">
        <f>IF(A50="","",B50+C50+D50-E50-F50)</f>
        <v/>
      </c>
      <c r="H50" s="51">
        <f>IF(A50="","",SUM('Stock Master'!$J$2:$J$49))</f>
        <v/>
      </c>
      <c r="I50" s="51">
        <f>IF(A50="","",SUM('Credit Sales Tracker'!$J$2:$J$501))</f>
        <v/>
      </c>
      <c r="J50" s="51">
        <f>IF(A50="","",SUM('Creditors Tracker'!$H$2:$H$501))</f>
        <v/>
      </c>
      <c r="K50" s="49" t="n"/>
    </row>
    <row r="51">
      <c r="A51" s="52" t="n"/>
      <c r="B51" s="51">
        <f>IF(A51="","",G50)</f>
        <v/>
      </c>
      <c r="C51" s="51">
        <f>IF(A51="","",SUMIFS('Daily Sales Log'!$J:$J,'Daily Sales Log'!$A:$A,A51))</f>
        <v/>
      </c>
      <c r="D51" s="51">
        <f>IF(A51="","",SUMIFS('Credit Sales Tracker'!$H:$H,'Credit Sales Tracker'!$I:$I,A51))</f>
        <v/>
      </c>
      <c r="E51" s="51">
        <f>IF(A51="","",SUMIFS('Daily Expenses Log'!$E:$E,'Daily Expenses Log'!$A:$A,A51))</f>
        <v/>
      </c>
      <c r="F51" s="51">
        <f>IF(A51="","",SUMIFS('Creditors Tracker'!$F:$F,'Creditors Tracker'!$G:$G,A51))</f>
        <v/>
      </c>
      <c r="G51" s="51">
        <f>IF(A51="","",B51+C51+D51-E51-F51)</f>
        <v/>
      </c>
      <c r="H51" s="51">
        <f>IF(A51="","",SUM('Stock Master'!$J$2:$J$49))</f>
        <v/>
      </c>
      <c r="I51" s="51">
        <f>IF(A51="","",SUM('Credit Sales Tracker'!$J$2:$J$501))</f>
        <v/>
      </c>
      <c r="J51" s="51">
        <f>IF(A51="","",SUM('Creditors Tracker'!$H$2:$H$501))</f>
        <v/>
      </c>
      <c r="K51" s="49" t="n"/>
    </row>
    <row r="52">
      <c r="A52" s="52" t="n"/>
      <c r="B52" s="51">
        <f>IF(A52="","",G51)</f>
        <v/>
      </c>
      <c r="C52" s="51">
        <f>IF(A52="","",SUMIFS('Daily Sales Log'!$J:$J,'Daily Sales Log'!$A:$A,A52))</f>
        <v/>
      </c>
      <c r="D52" s="51">
        <f>IF(A52="","",SUMIFS('Credit Sales Tracker'!$H:$H,'Credit Sales Tracker'!$I:$I,A52))</f>
        <v/>
      </c>
      <c r="E52" s="51">
        <f>IF(A52="","",SUMIFS('Daily Expenses Log'!$E:$E,'Daily Expenses Log'!$A:$A,A52))</f>
        <v/>
      </c>
      <c r="F52" s="51">
        <f>IF(A52="","",SUMIFS('Creditors Tracker'!$F:$F,'Creditors Tracker'!$G:$G,A52))</f>
        <v/>
      </c>
      <c r="G52" s="51">
        <f>IF(A52="","",B52+C52+D52-E52-F52)</f>
        <v/>
      </c>
      <c r="H52" s="51">
        <f>IF(A52="","",SUM('Stock Master'!$J$2:$J$49))</f>
        <v/>
      </c>
      <c r="I52" s="51">
        <f>IF(A52="","",SUM('Credit Sales Tracker'!$J$2:$J$501))</f>
        <v/>
      </c>
      <c r="J52" s="51">
        <f>IF(A52="","",SUM('Creditors Tracker'!$H$2:$H$501))</f>
        <v/>
      </c>
      <c r="K52" s="49" t="n"/>
    </row>
    <row r="53">
      <c r="A53" s="52" t="n"/>
      <c r="B53" s="51">
        <f>IF(A53="","",G52)</f>
        <v/>
      </c>
      <c r="C53" s="51">
        <f>IF(A53="","",SUMIFS('Daily Sales Log'!$J:$J,'Daily Sales Log'!$A:$A,A53))</f>
        <v/>
      </c>
      <c r="D53" s="51">
        <f>IF(A53="","",SUMIFS('Credit Sales Tracker'!$H:$H,'Credit Sales Tracker'!$I:$I,A53))</f>
        <v/>
      </c>
      <c r="E53" s="51">
        <f>IF(A53="","",SUMIFS('Daily Expenses Log'!$E:$E,'Daily Expenses Log'!$A:$A,A53))</f>
        <v/>
      </c>
      <c r="F53" s="51">
        <f>IF(A53="","",SUMIFS('Creditors Tracker'!$F:$F,'Creditors Tracker'!$G:$G,A53))</f>
        <v/>
      </c>
      <c r="G53" s="51">
        <f>IF(A53="","",B53+C53+D53-E53-F53)</f>
        <v/>
      </c>
      <c r="H53" s="51">
        <f>IF(A53="","",SUM('Stock Master'!$J$2:$J$49))</f>
        <v/>
      </c>
      <c r="I53" s="51">
        <f>IF(A53="","",SUM('Credit Sales Tracker'!$J$2:$J$501))</f>
        <v/>
      </c>
      <c r="J53" s="51">
        <f>IF(A53="","",SUM('Creditors Tracker'!$H$2:$H$501))</f>
        <v/>
      </c>
      <c r="K53" s="49" t="n"/>
    </row>
    <row r="54">
      <c r="A54" s="52" t="n"/>
      <c r="B54" s="51">
        <f>IF(A54="","",G53)</f>
        <v/>
      </c>
      <c r="C54" s="51">
        <f>IF(A54="","",SUMIFS('Daily Sales Log'!$J:$J,'Daily Sales Log'!$A:$A,A54))</f>
        <v/>
      </c>
      <c r="D54" s="51">
        <f>IF(A54="","",SUMIFS('Credit Sales Tracker'!$H:$H,'Credit Sales Tracker'!$I:$I,A54))</f>
        <v/>
      </c>
      <c r="E54" s="51">
        <f>IF(A54="","",SUMIFS('Daily Expenses Log'!$E:$E,'Daily Expenses Log'!$A:$A,A54))</f>
        <v/>
      </c>
      <c r="F54" s="51">
        <f>IF(A54="","",SUMIFS('Creditors Tracker'!$F:$F,'Creditors Tracker'!$G:$G,A54))</f>
        <v/>
      </c>
      <c r="G54" s="51">
        <f>IF(A54="","",B54+C54+D54-E54-F54)</f>
        <v/>
      </c>
      <c r="H54" s="51">
        <f>IF(A54="","",SUM('Stock Master'!$J$2:$J$49))</f>
        <v/>
      </c>
      <c r="I54" s="51">
        <f>IF(A54="","",SUM('Credit Sales Tracker'!$J$2:$J$501))</f>
        <v/>
      </c>
      <c r="J54" s="51">
        <f>IF(A54="","",SUM('Creditors Tracker'!$H$2:$H$501))</f>
        <v/>
      </c>
      <c r="K54" s="49" t="n"/>
    </row>
    <row r="55">
      <c r="A55" s="52" t="n"/>
      <c r="B55" s="51">
        <f>IF(A55="","",G54)</f>
        <v/>
      </c>
      <c r="C55" s="51">
        <f>IF(A55="","",SUMIFS('Daily Sales Log'!$J:$J,'Daily Sales Log'!$A:$A,A55))</f>
        <v/>
      </c>
      <c r="D55" s="51">
        <f>IF(A55="","",SUMIFS('Credit Sales Tracker'!$H:$H,'Credit Sales Tracker'!$I:$I,A55))</f>
        <v/>
      </c>
      <c r="E55" s="51">
        <f>IF(A55="","",SUMIFS('Daily Expenses Log'!$E:$E,'Daily Expenses Log'!$A:$A,A55))</f>
        <v/>
      </c>
      <c r="F55" s="51">
        <f>IF(A55="","",SUMIFS('Creditors Tracker'!$F:$F,'Creditors Tracker'!$G:$G,A55))</f>
        <v/>
      </c>
      <c r="G55" s="51">
        <f>IF(A55="","",B55+C55+D55-E55-F55)</f>
        <v/>
      </c>
      <c r="H55" s="51">
        <f>IF(A55="","",SUM('Stock Master'!$J$2:$J$49))</f>
        <v/>
      </c>
      <c r="I55" s="51">
        <f>IF(A55="","",SUM('Credit Sales Tracker'!$J$2:$J$501))</f>
        <v/>
      </c>
      <c r="J55" s="51">
        <f>IF(A55="","",SUM('Creditors Tracker'!$H$2:$H$501))</f>
        <v/>
      </c>
      <c r="K55" s="49" t="n"/>
    </row>
    <row r="56">
      <c r="A56" s="52" t="n"/>
      <c r="B56" s="51">
        <f>IF(A56="","",G55)</f>
        <v/>
      </c>
      <c r="C56" s="51">
        <f>IF(A56="","",SUMIFS('Daily Sales Log'!$J:$J,'Daily Sales Log'!$A:$A,A56))</f>
        <v/>
      </c>
      <c r="D56" s="51">
        <f>IF(A56="","",SUMIFS('Credit Sales Tracker'!$H:$H,'Credit Sales Tracker'!$I:$I,A56))</f>
        <v/>
      </c>
      <c r="E56" s="51">
        <f>IF(A56="","",SUMIFS('Daily Expenses Log'!$E:$E,'Daily Expenses Log'!$A:$A,A56))</f>
        <v/>
      </c>
      <c r="F56" s="51">
        <f>IF(A56="","",SUMIFS('Creditors Tracker'!$F:$F,'Creditors Tracker'!$G:$G,A56))</f>
        <v/>
      </c>
      <c r="G56" s="51">
        <f>IF(A56="","",B56+C56+D56-E56-F56)</f>
        <v/>
      </c>
      <c r="H56" s="51">
        <f>IF(A56="","",SUM('Stock Master'!$J$2:$J$49))</f>
        <v/>
      </c>
      <c r="I56" s="51">
        <f>IF(A56="","",SUM('Credit Sales Tracker'!$J$2:$J$501))</f>
        <v/>
      </c>
      <c r="J56" s="51">
        <f>IF(A56="","",SUM('Creditors Tracker'!$H$2:$H$501))</f>
        <v/>
      </c>
      <c r="K56" s="49" t="n"/>
    </row>
    <row r="57">
      <c r="A57" s="52" t="n"/>
      <c r="B57" s="51">
        <f>IF(A57="","",G56)</f>
        <v/>
      </c>
      <c r="C57" s="51">
        <f>IF(A57="","",SUMIFS('Daily Sales Log'!$J:$J,'Daily Sales Log'!$A:$A,A57))</f>
        <v/>
      </c>
      <c r="D57" s="51">
        <f>IF(A57="","",SUMIFS('Credit Sales Tracker'!$H:$H,'Credit Sales Tracker'!$I:$I,A57))</f>
        <v/>
      </c>
      <c r="E57" s="51">
        <f>IF(A57="","",SUMIFS('Daily Expenses Log'!$E:$E,'Daily Expenses Log'!$A:$A,A57))</f>
        <v/>
      </c>
      <c r="F57" s="51">
        <f>IF(A57="","",SUMIFS('Creditors Tracker'!$F:$F,'Creditors Tracker'!$G:$G,A57))</f>
        <v/>
      </c>
      <c r="G57" s="51">
        <f>IF(A57="","",B57+C57+D57-E57-F57)</f>
        <v/>
      </c>
      <c r="H57" s="51">
        <f>IF(A57="","",SUM('Stock Master'!$J$2:$J$49))</f>
        <v/>
      </c>
      <c r="I57" s="51">
        <f>IF(A57="","",SUM('Credit Sales Tracker'!$J$2:$J$501))</f>
        <v/>
      </c>
      <c r="J57" s="51">
        <f>IF(A57="","",SUM('Creditors Tracker'!$H$2:$H$501))</f>
        <v/>
      </c>
      <c r="K57" s="49" t="n"/>
    </row>
    <row r="58">
      <c r="A58" s="52" t="n"/>
      <c r="B58" s="51">
        <f>IF(A58="","",G57)</f>
        <v/>
      </c>
      <c r="C58" s="51">
        <f>IF(A58="","",SUMIFS('Daily Sales Log'!$J:$J,'Daily Sales Log'!$A:$A,A58))</f>
        <v/>
      </c>
      <c r="D58" s="51">
        <f>IF(A58="","",SUMIFS('Credit Sales Tracker'!$H:$H,'Credit Sales Tracker'!$I:$I,A58))</f>
        <v/>
      </c>
      <c r="E58" s="51">
        <f>IF(A58="","",SUMIFS('Daily Expenses Log'!$E:$E,'Daily Expenses Log'!$A:$A,A58))</f>
        <v/>
      </c>
      <c r="F58" s="51">
        <f>IF(A58="","",SUMIFS('Creditors Tracker'!$F:$F,'Creditors Tracker'!$G:$G,A58))</f>
        <v/>
      </c>
      <c r="G58" s="51">
        <f>IF(A58="","",B58+C58+D58-E58-F58)</f>
        <v/>
      </c>
      <c r="H58" s="51">
        <f>IF(A58="","",SUM('Stock Master'!$J$2:$J$49))</f>
        <v/>
      </c>
      <c r="I58" s="51">
        <f>IF(A58="","",SUM('Credit Sales Tracker'!$J$2:$J$501))</f>
        <v/>
      </c>
      <c r="J58" s="51">
        <f>IF(A58="","",SUM('Creditors Tracker'!$H$2:$H$501))</f>
        <v/>
      </c>
      <c r="K58" s="49" t="n"/>
    </row>
    <row r="59">
      <c r="A59" s="52" t="n"/>
      <c r="B59" s="51">
        <f>IF(A59="","",G58)</f>
        <v/>
      </c>
      <c r="C59" s="51">
        <f>IF(A59="","",SUMIFS('Daily Sales Log'!$J:$J,'Daily Sales Log'!$A:$A,A59))</f>
        <v/>
      </c>
      <c r="D59" s="51">
        <f>IF(A59="","",SUMIFS('Credit Sales Tracker'!$H:$H,'Credit Sales Tracker'!$I:$I,A59))</f>
        <v/>
      </c>
      <c r="E59" s="51">
        <f>IF(A59="","",SUMIFS('Daily Expenses Log'!$E:$E,'Daily Expenses Log'!$A:$A,A59))</f>
        <v/>
      </c>
      <c r="F59" s="51">
        <f>IF(A59="","",SUMIFS('Creditors Tracker'!$F:$F,'Creditors Tracker'!$G:$G,A59))</f>
        <v/>
      </c>
      <c r="G59" s="51">
        <f>IF(A59="","",B59+C59+D59-E59-F59)</f>
        <v/>
      </c>
      <c r="H59" s="51">
        <f>IF(A59="","",SUM('Stock Master'!$J$2:$J$49))</f>
        <v/>
      </c>
      <c r="I59" s="51">
        <f>IF(A59="","",SUM('Credit Sales Tracker'!$J$2:$J$501))</f>
        <v/>
      </c>
      <c r="J59" s="51">
        <f>IF(A59="","",SUM('Creditors Tracker'!$H$2:$H$501))</f>
        <v/>
      </c>
      <c r="K59" s="49" t="n"/>
    </row>
    <row r="60">
      <c r="A60" s="52" t="n"/>
      <c r="B60" s="51">
        <f>IF(A60="","",G59)</f>
        <v/>
      </c>
      <c r="C60" s="51">
        <f>IF(A60="","",SUMIFS('Daily Sales Log'!$J:$J,'Daily Sales Log'!$A:$A,A60))</f>
        <v/>
      </c>
      <c r="D60" s="51">
        <f>IF(A60="","",SUMIFS('Credit Sales Tracker'!$H:$H,'Credit Sales Tracker'!$I:$I,A60))</f>
        <v/>
      </c>
      <c r="E60" s="51">
        <f>IF(A60="","",SUMIFS('Daily Expenses Log'!$E:$E,'Daily Expenses Log'!$A:$A,A60))</f>
        <v/>
      </c>
      <c r="F60" s="51">
        <f>IF(A60="","",SUMIFS('Creditors Tracker'!$F:$F,'Creditors Tracker'!$G:$G,A60))</f>
        <v/>
      </c>
      <c r="G60" s="51">
        <f>IF(A60="","",B60+C60+D60-E60-F60)</f>
        <v/>
      </c>
      <c r="H60" s="51">
        <f>IF(A60="","",SUM('Stock Master'!$J$2:$J$49))</f>
        <v/>
      </c>
      <c r="I60" s="51">
        <f>IF(A60="","",SUM('Credit Sales Tracker'!$J$2:$J$501))</f>
        <v/>
      </c>
      <c r="J60" s="51">
        <f>IF(A60="","",SUM('Creditors Tracker'!$H$2:$H$501))</f>
        <v/>
      </c>
      <c r="K60" s="49" t="n"/>
    </row>
    <row r="61">
      <c r="A61" s="52" t="n"/>
      <c r="B61" s="51">
        <f>IF(A61="","",G60)</f>
        <v/>
      </c>
      <c r="C61" s="51">
        <f>IF(A61="","",SUMIFS('Daily Sales Log'!$J:$J,'Daily Sales Log'!$A:$A,A61))</f>
        <v/>
      </c>
      <c r="D61" s="51">
        <f>IF(A61="","",SUMIFS('Credit Sales Tracker'!$H:$H,'Credit Sales Tracker'!$I:$I,A61))</f>
        <v/>
      </c>
      <c r="E61" s="51">
        <f>IF(A61="","",SUMIFS('Daily Expenses Log'!$E:$E,'Daily Expenses Log'!$A:$A,A61))</f>
        <v/>
      </c>
      <c r="F61" s="51">
        <f>IF(A61="","",SUMIFS('Creditors Tracker'!$F:$F,'Creditors Tracker'!$G:$G,A61))</f>
        <v/>
      </c>
      <c r="G61" s="51">
        <f>IF(A61="","",B61+C61+D61-E61-F61)</f>
        <v/>
      </c>
      <c r="H61" s="51">
        <f>IF(A61="","",SUM('Stock Master'!$J$2:$J$49))</f>
        <v/>
      </c>
      <c r="I61" s="51">
        <f>IF(A61="","",SUM('Credit Sales Tracker'!$J$2:$J$501))</f>
        <v/>
      </c>
      <c r="J61" s="51">
        <f>IF(A61="","",SUM('Creditors Tracker'!$H$2:$H$501))</f>
        <v/>
      </c>
      <c r="K61" s="49" t="n"/>
    </row>
    <row r="62">
      <c r="A62" s="52" t="n"/>
      <c r="B62" s="51">
        <f>IF(A62="","",G61)</f>
        <v/>
      </c>
      <c r="C62" s="51">
        <f>IF(A62="","",SUMIFS('Daily Sales Log'!$J:$J,'Daily Sales Log'!$A:$A,A62))</f>
        <v/>
      </c>
      <c r="D62" s="51">
        <f>IF(A62="","",SUMIFS('Credit Sales Tracker'!$H:$H,'Credit Sales Tracker'!$I:$I,A62))</f>
        <v/>
      </c>
      <c r="E62" s="51">
        <f>IF(A62="","",SUMIFS('Daily Expenses Log'!$E:$E,'Daily Expenses Log'!$A:$A,A62))</f>
        <v/>
      </c>
      <c r="F62" s="51">
        <f>IF(A62="","",SUMIFS('Creditors Tracker'!$F:$F,'Creditors Tracker'!$G:$G,A62))</f>
        <v/>
      </c>
      <c r="G62" s="51">
        <f>IF(A62="","",B62+C62+D62-E62-F62)</f>
        <v/>
      </c>
      <c r="H62" s="51">
        <f>IF(A62="","",SUM('Stock Master'!$J$2:$J$49))</f>
        <v/>
      </c>
      <c r="I62" s="51">
        <f>IF(A62="","",SUM('Credit Sales Tracker'!$J$2:$J$501))</f>
        <v/>
      </c>
      <c r="J62" s="51">
        <f>IF(A62="","",SUM('Creditors Tracker'!$H$2:$H$501))</f>
        <v/>
      </c>
      <c r="K62" s="49" t="n"/>
    </row>
    <row r="63">
      <c r="A63" s="52" t="n"/>
      <c r="B63" s="51">
        <f>IF(A63="","",G62)</f>
        <v/>
      </c>
      <c r="C63" s="51">
        <f>IF(A63="","",SUMIFS('Daily Sales Log'!$J:$J,'Daily Sales Log'!$A:$A,A63))</f>
        <v/>
      </c>
      <c r="D63" s="51">
        <f>IF(A63="","",SUMIFS('Credit Sales Tracker'!$H:$H,'Credit Sales Tracker'!$I:$I,A63))</f>
        <v/>
      </c>
      <c r="E63" s="51">
        <f>IF(A63="","",SUMIFS('Daily Expenses Log'!$E:$E,'Daily Expenses Log'!$A:$A,A63))</f>
        <v/>
      </c>
      <c r="F63" s="51">
        <f>IF(A63="","",SUMIFS('Creditors Tracker'!$F:$F,'Creditors Tracker'!$G:$G,A63))</f>
        <v/>
      </c>
      <c r="G63" s="51">
        <f>IF(A63="","",B63+C63+D63-E63-F63)</f>
        <v/>
      </c>
      <c r="H63" s="51">
        <f>IF(A63="","",SUM('Stock Master'!$J$2:$J$49))</f>
        <v/>
      </c>
      <c r="I63" s="51">
        <f>IF(A63="","",SUM('Credit Sales Tracker'!$J$2:$J$501))</f>
        <v/>
      </c>
      <c r="J63" s="51">
        <f>IF(A63="","",SUM('Creditors Tracker'!$H$2:$H$501))</f>
        <v/>
      </c>
      <c r="K63" s="49" t="n"/>
    </row>
    <row r="64">
      <c r="A64" s="52" t="n"/>
      <c r="B64" s="51">
        <f>IF(A64="","",G63)</f>
        <v/>
      </c>
      <c r="C64" s="51">
        <f>IF(A64="","",SUMIFS('Daily Sales Log'!$J:$J,'Daily Sales Log'!$A:$A,A64))</f>
        <v/>
      </c>
      <c r="D64" s="51">
        <f>IF(A64="","",SUMIFS('Credit Sales Tracker'!$H:$H,'Credit Sales Tracker'!$I:$I,A64))</f>
        <v/>
      </c>
      <c r="E64" s="51">
        <f>IF(A64="","",SUMIFS('Daily Expenses Log'!$E:$E,'Daily Expenses Log'!$A:$A,A64))</f>
        <v/>
      </c>
      <c r="F64" s="51">
        <f>IF(A64="","",SUMIFS('Creditors Tracker'!$F:$F,'Creditors Tracker'!$G:$G,A64))</f>
        <v/>
      </c>
      <c r="G64" s="51">
        <f>IF(A64="","",B64+C64+D64-E64-F64)</f>
        <v/>
      </c>
      <c r="H64" s="51">
        <f>IF(A64="","",SUM('Stock Master'!$J$2:$J$49))</f>
        <v/>
      </c>
      <c r="I64" s="51">
        <f>IF(A64="","",SUM('Credit Sales Tracker'!$J$2:$J$501))</f>
        <v/>
      </c>
      <c r="J64" s="51">
        <f>IF(A64="","",SUM('Creditors Tracker'!$H$2:$H$501))</f>
        <v/>
      </c>
      <c r="K64" s="49" t="n"/>
    </row>
    <row r="65">
      <c r="A65" s="52" t="n"/>
      <c r="B65" s="51">
        <f>IF(A65="","",G64)</f>
        <v/>
      </c>
      <c r="C65" s="51">
        <f>IF(A65="","",SUMIFS('Daily Sales Log'!$J:$J,'Daily Sales Log'!$A:$A,A65))</f>
        <v/>
      </c>
      <c r="D65" s="51">
        <f>IF(A65="","",SUMIFS('Credit Sales Tracker'!$H:$H,'Credit Sales Tracker'!$I:$I,A65))</f>
        <v/>
      </c>
      <c r="E65" s="51">
        <f>IF(A65="","",SUMIFS('Daily Expenses Log'!$E:$E,'Daily Expenses Log'!$A:$A,A65))</f>
        <v/>
      </c>
      <c r="F65" s="51">
        <f>IF(A65="","",SUMIFS('Creditors Tracker'!$F:$F,'Creditors Tracker'!$G:$G,A65))</f>
        <v/>
      </c>
      <c r="G65" s="51">
        <f>IF(A65="","",B65+C65+D65-E65-F65)</f>
        <v/>
      </c>
      <c r="H65" s="51">
        <f>IF(A65="","",SUM('Stock Master'!$J$2:$J$49))</f>
        <v/>
      </c>
      <c r="I65" s="51">
        <f>IF(A65="","",SUM('Credit Sales Tracker'!$J$2:$J$501))</f>
        <v/>
      </c>
      <c r="J65" s="51">
        <f>IF(A65="","",SUM('Creditors Tracker'!$H$2:$H$501))</f>
        <v/>
      </c>
      <c r="K65" s="49" t="n"/>
    </row>
    <row r="66">
      <c r="A66" s="52" t="n"/>
      <c r="B66" s="51">
        <f>IF(A66="","",G65)</f>
        <v/>
      </c>
      <c r="C66" s="51">
        <f>IF(A66="","",SUMIFS('Daily Sales Log'!$J:$J,'Daily Sales Log'!$A:$A,A66))</f>
        <v/>
      </c>
      <c r="D66" s="51">
        <f>IF(A66="","",SUMIFS('Credit Sales Tracker'!$H:$H,'Credit Sales Tracker'!$I:$I,A66))</f>
        <v/>
      </c>
      <c r="E66" s="51">
        <f>IF(A66="","",SUMIFS('Daily Expenses Log'!$E:$E,'Daily Expenses Log'!$A:$A,A66))</f>
        <v/>
      </c>
      <c r="F66" s="51">
        <f>IF(A66="","",SUMIFS('Creditors Tracker'!$F:$F,'Creditors Tracker'!$G:$G,A66))</f>
        <v/>
      </c>
      <c r="G66" s="51">
        <f>IF(A66="","",B66+C66+D66-E66-F66)</f>
        <v/>
      </c>
      <c r="H66" s="51">
        <f>IF(A66="","",SUM('Stock Master'!$J$2:$J$49))</f>
        <v/>
      </c>
      <c r="I66" s="51">
        <f>IF(A66="","",SUM('Credit Sales Tracker'!$J$2:$J$501))</f>
        <v/>
      </c>
      <c r="J66" s="51">
        <f>IF(A66="","",SUM('Creditors Tracker'!$H$2:$H$501))</f>
        <v/>
      </c>
      <c r="K66" s="49" t="n"/>
    </row>
    <row r="67">
      <c r="A67" s="52" t="n"/>
      <c r="B67" s="51">
        <f>IF(A67="","",G66)</f>
        <v/>
      </c>
      <c r="C67" s="51">
        <f>IF(A67="","",SUMIFS('Daily Sales Log'!$J:$J,'Daily Sales Log'!$A:$A,A67))</f>
        <v/>
      </c>
      <c r="D67" s="51">
        <f>IF(A67="","",SUMIFS('Credit Sales Tracker'!$H:$H,'Credit Sales Tracker'!$I:$I,A67))</f>
        <v/>
      </c>
      <c r="E67" s="51">
        <f>IF(A67="","",SUMIFS('Daily Expenses Log'!$E:$E,'Daily Expenses Log'!$A:$A,A67))</f>
        <v/>
      </c>
      <c r="F67" s="51">
        <f>IF(A67="","",SUMIFS('Creditors Tracker'!$F:$F,'Creditors Tracker'!$G:$G,A67))</f>
        <v/>
      </c>
      <c r="G67" s="51">
        <f>IF(A67="","",B67+C67+D67-E67-F67)</f>
        <v/>
      </c>
      <c r="H67" s="51">
        <f>IF(A67="","",SUM('Stock Master'!$J$2:$J$49))</f>
        <v/>
      </c>
      <c r="I67" s="51">
        <f>IF(A67="","",SUM('Credit Sales Tracker'!$J$2:$J$501))</f>
        <v/>
      </c>
      <c r="J67" s="51">
        <f>IF(A67="","",SUM('Creditors Tracker'!$H$2:$H$501))</f>
        <v/>
      </c>
      <c r="K67" s="49" t="n"/>
    </row>
    <row r="68">
      <c r="A68" s="52" t="n"/>
      <c r="B68" s="51">
        <f>IF(A68="","",G67)</f>
        <v/>
      </c>
      <c r="C68" s="51">
        <f>IF(A68="","",SUMIFS('Daily Sales Log'!$J:$J,'Daily Sales Log'!$A:$A,A68))</f>
        <v/>
      </c>
      <c r="D68" s="51">
        <f>IF(A68="","",SUMIFS('Credit Sales Tracker'!$H:$H,'Credit Sales Tracker'!$I:$I,A68))</f>
        <v/>
      </c>
      <c r="E68" s="51">
        <f>IF(A68="","",SUMIFS('Daily Expenses Log'!$E:$E,'Daily Expenses Log'!$A:$A,A68))</f>
        <v/>
      </c>
      <c r="F68" s="51">
        <f>IF(A68="","",SUMIFS('Creditors Tracker'!$F:$F,'Creditors Tracker'!$G:$G,A68))</f>
        <v/>
      </c>
      <c r="G68" s="51">
        <f>IF(A68="","",B68+C68+D68-E68-F68)</f>
        <v/>
      </c>
      <c r="H68" s="51">
        <f>IF(A68="","",SUM('Stock Master'!$J$2:$J$49))</f>
        <v/>
      </c>
      <c r="I68" s="51">
        <f>IF(A68="","",SUM('Credit Sales Tracker'!$J$2:$J$501))</f>
        <v/>
      </c>
      <c r="J68" s="51">
        <f>IF(A68="","",SUM('Creditors Tracker'!$H$2:$H$501))</f>
        <v/>
      </c>
      <c r="K68" s="49" t="n"/>
    </row>
    <row r="69">
      <c r="A69" s="52" t="n"/>
      <c r="B69" s="51">
        <f>IF(A69="","",G68)</f>
        <v/>
      </c>
      <c r="C69" s="51">
        <f>IF(A69="","",SUMIFS('Daily Sales Log'!$J:$J,'Daily Sales Log'!$A:$A,A69))</f>
        <v/>
      </c>
      <c r="D69" s="51">
        <f>IF(A69="","",SUMIFS('Credit Sales Tracker'!$H:$H,'Credit Sales Tracker'!$I:$I,A69))</f>
        <v/>
      </c>
      <c r="E69" s="51">
        <f>IF(A69="","",SUMIFS('Daily Expenses Log'!$E:$E,'Daily Expenses Log'!$A:$A,A69))</f>
        <v/>
      </c>
      <c r="F69" s="51">
        <f>IF(A69="","",SUMIFS('Creditors Tracker'!$F:$F,'Creditors Tracker'!$G:$G,A69))</f>
        <v/>
      </c>
      <c r="G69" s="51">
        <f>IF(A69="","",B69+C69+D69-E69-F69)</f>
        <v/>
      </c>
      <c r="H69" s="51">
        <f>IF(A69="","",SUM('Stock Master'!$J$2:$J$49))</f>
        <v/>
      </c>
      <c r="I69" s="51">
        <f>IF(A69="","",SUM('Credit Sales Tracker'!$J$2:$J$501))</f>
        <v/>
      </c>
      <c r="J69" s="51">
        <f>IF(A69="","",SUM('Creditors Tracker'!$H$2:$H$501))</f>
        <v/>
      </c>
      <c r="K69" s="49" t="n"/>
    </row>
    <row r="70">
      <c r="A70" s="52" t="n"/>
      <c r="B70" s="51">
        <f>IF(A70="","",G69)</f>
        <v/>
      </c>
      <c r="C70" s="51">
        <f>IF(A70="","",SUMIFS('Daily Sales Log'!$J:$J,'Daily Sales Log'!$A:$A,A70))</f>
        <v/>
      </c>
      <c r="D70" s="51">
        <f>IF(A70="","",SUMIFS('Credit Sales Tracker'!$H:$H,'Credit Sales Tracker'!$I:$I,A70))</f>
        <v/>
      </c>
      <c r="E70" s="51">
        <f>IF(A70="","",SUMIFS('Daily Expenses Log'!$E:$E,'Daily Expenses Log'!$A:$A,A70))</f>
        <v/>
      </c>
      <c r="F70" s="51">
        <f>IF(A70="","",SUMIFS('Creditors Tracker'!$F:$F,'Creditors Tracker'!$G:$G,A70))</f>
        <v/>
      </c>
      <c r="G70" s="51">
        <f>IF(A70="","",B70+C70+D70-E70-F70)</f>
        <v/>
      </c>
      <c r="H70" s="51">
        <f>IF(A70="","",SUM('Stock Master'!$J$2:$J$49))</f>
        <v/>
      </c>
      <c r="I70" s="51">
        <f>IF(A70="","",SUM('Credit Sales Tracker'!$J$2:$J$501))</f>
        <v/>
      </c>
      <c r="J70" s="51">
        <f>IF(A70="","",SUM('Creditors Tracker'!$H$2:$H$501))</f>
        <v/>
      </c>
      <c r="K70" s="49" t="n"/>
    </row>
    <row r="71">
      <c r="A71" s="52" t="n"/>
      <c r="B71" s="51">
        <f>IF(A71="","",G70)</f>
        <v/>
      </c>
      <c r="C71" s="51">
        <f>IF(A71="","",SUMIFS('Daily Sales Log'!$J:$J,'Daily Sales Log'!$A:$A,A71))</f>
        <v/>
      </c>
      <c r="D71" s="51">
        <f>IF(A71="","",SUMIFS('Credit Sales Tracker'!$H:$H,'Credit Sales Tracker'!$I:$I,A71))</f>
        <v/>
      </c>
      <c r="E71" s="51">
        <f>IF(A71="","",SUMIFS('Daily Expenses Log'!$E:$E,'Daily Expenses Log'!$A:$A,A71))</f>
        <v/>
      </c>
      <c r="F71" s="51">
        <f>IF(A71="","",SUMIFS('Creditors Tracker'!$F:$F,'Creditors Tracker'!$G:$G,A71))</f>
        <v/>
      </c>
      <c r="G71" s="51">
        <f>IF(A71="","",B71+C71+D71-E71-F71)</f>
        <v/>
      </c>
      <c r="H71" s="51">
        <f>IF(A71="","",SUM('Stock Master'!$J$2:$J$49))</f>
        <v/>
      </c>
      <c r="I71" s="51">
        <f>IF(A71="","",SUM('Credit Sales Tracker'!$J$2:$J$501))</f>
        <v/>
      </c>
      <c r="J71" s="51">
        <f>IF(A71="","",SUM('Creditors Tracker'!$H$2:$H$501))</f>
        <v/>
      </c>
      <c r="K71" s="49" t="n"/>
    </row>
    <row r="72">
      <c r="A72" s="52" t="n"/>
      <c r="B72" s="51">
        <f>IF(A72="","",G71)</f>
        <v/>
      </c>
      <c r="C72" s="51">
        <f>IF(A72="","",SUMIFS('Daily Sales Log'!$J:$J,'Daily Sales Log'!$A:$A,A72))</f>
        <v/>
      </c>
      <c r="D72" s="51">
        <f>IF(A72="","",SUMIFS('Credit Sales Tracker'!$H:$H,'Credit Sales Tracker'!$I:$I,A72))</f>
        <v/>
      </c>
      <c r="E72" s="51">
        <f>IF(A72="","",SUMIFS('Daily Expenses Log'!$E:$E,'Daily Expenses Log'!$A:$A,A72))</f>
        <v/>
      </c>
      <c r="F72" s="51">
        <f>IF(A72="","",SUMIFS('Creditors Tracker'!$F:$F,'Creditors Tracker'!$G:$G,A72))</f>
        <v/>
      </c>
      <c r="G72" s="51">
        <f>IF(A72="","",B72+C72+D72-E72-F72)</f>
        <v/>
      </c>
      <c r="H72" s="51">
        <f>IF(A72="","",SUM('Stock Master'!$J$2:$J$49))</f>
        <v/>
      </c>
      <c r="I72" s="51">
        <f>IF(A72="","",SUM('Credit Sales Tracker'!$J$2:$J$501))</f>
        <v/>
      </c>
      <c r="J72" s="51">
        <f>IF(A72="","",SUM('Creditors Tracker'!$H$2:$H$501))</f>
        <v/>
      </c>
      <c r="K72" s="49" t="n"/>
    </row>
    <row r="73">
      <c r="A73" s="52" t="n"/>
      <c r="B73" s="51">
        <f>IF(A73="","",G72)</f>
        <v/>
      </c>
      <c r="C73" s="51">
        <f>IF(A73="","",SUMIFS('Daily Sales Log'!$J:$J,'Daily Sales Log'!$A:$A,A73))</f>
        <v/>
      </c>
      <c r="D73" s="51">
        <f>IF(A73="","",SUMIFS('Credit Sales Tracker'!$H:$H,'Credit Sales Tracker'!$I:$I,A73))</f>
        <v/>
      </c>
      <c r="E73" s="51">
        <f>IF(A73="","",SUMIFS('Daily Expenses Log'!$E:$E,'Daily Expenses Log'!$A:$A,A73))</f>
        <v/>
      </c>
      <c r="F73" s="51">
        <f>IF(A73="","",SUMIFS('Creditors Tracker'!$F:$F,'Creditors Tracker'!$G:$G,A73))</f>
        <v/>
      </c>
      <c r="G73" s="51">
        <f>IF(A73="","",B73+C73+D73-E73-F73)</f>
        <v/>
      </c>
      <c r="H73" s="51">
        <f>IF(A73="","",SUM('Stock Master'!$J$2:$J$49))</f>
        <v/>
      </c>
      <c r="I73" s="51">
        <f>IF(A73="","",SUM('Credit Sales Tracker'!$J$2:$J$501))</f>
        <v/>
      </c>
      <c r="J73" s="51">
        <f>IF(A73="","",SUM('Creditors Tracker'!$H$2:$H$501))</f>
        <v/>
      </c>
      <c r="K73" s="49" t="n"/>
    </row>
    <row r="74">
      <c r="A74" s="52" t="n"/>
      <c r="B74" s="51">
        <f>IF(A74="","",G73)</f>
        <v/>
      </c>
      <c r="C74" s="51">
        <f>IF(A74="","",SUMIFS('Daily Sales Log'!$J:$J,'Daily Sales Log'!$A:$A,A74))</f>
        <v/>
      </c>
      <c r="D74" s="51">
        <f>IF(A74="","",SUMIFS('Credit Sales Tracker'!$H:$H,'Credit Sales Tracker'!$I:$I,A74))</f>
        <v/>
      </c>
      <c r="E74" s="51">
        <f>IF(A74="","",SUMIFS('Daily Expenses Log'!$E:$E,'Daily Expenses Log'!$A:$A,A74))</f>
        <v/>
      </c>
      <c r="F74" s="51">
        <f>IF(A74="","",SUMIFS('Creditors Tracker'!$F:$F,'Creditors Tracker'!$G:$G,A74))</f>
        <v/>
      </c>
      <c r="G74" s="51">
        <f>IF(A74="","",B74+C74+D74-E74-F74)</f>
        <v/>
      </c>
      <c r="H74" s="51">
        <f>IF(A74="","",SUM('Stock Master'!$J$2:$J$49))</f>
        <v/>
      </c>
      <c r="I74" s="51">
        <f>IF(A74="","",SUM('Credit Sales Tracker'!$J$2:$J$501))</f>
        <v/>
      </c>
      <c r="J74" s="51">
        <f>IF(A74="","",SUM('Creditors Tracker'!$H$2:$H$501))</f>
        <v/>
      </c>
      <c r="K74" s="49" t="n"/>
    </row>
    <row r="75">
      <c r="A75" s="52" t="n"/>
      <c r="B75" s="51">
        <f>IF(A75="","",G74)</f>
        <v/>
      </c>
      <c r="C75" s="51">
        <f>IF(A75="","",SUMIFS('Daily Sales Log'!$J:$J,'Daily Sales Log'!$A:$A,A75))</f>
        <v/>
      </c>
      <c r="D75" s="51">
        <f>IF(A75="","",SUMIFS('Credit Sales Tracker'!$H:$H,'Credit Sales Tracker'!$I:$I,A75))</f>
        <v/>
      </c>
      <c r="E75" s="51">
        <f>IF(A75="","",SUMIFS('Daily Expenses Log'!$E:$E,'Daily Expenses Log'!$A:$A,A75))</f>
        <v/>
      </c>
      <c r="F75" s="51">
        <f>IF(A75="","",SUMIFS('Creditors Tracker'!$F:$F,'Creditors Tracker'!$G:$G,A75))</f>
        <v/>
      </c>
      <c r="G75" s="51">
        <f>IF(A75="","",B75+C75+D75-E75-F75)</f>
        <v/>
      </c>
      <c r="H75" s="51">
        <f>IF(A75="","",SUM('Stock Master'!$J$2:$J$49))</f>
        <v/>
      </c>
      <c r="I75" s="51">
        <f>IF(A75="","",SUM('Credit Sales Tracker'!$J$2:$J$501))</f>
        <v/>
      </c>
      <c r="J75" s="51">
        <f>IF(A75="","",SUM('Creditors Tracker'!$H$2:$H$501))</f>
        <v/>
      </c>
      <c r="K75" s="49" t="n"/>
    </row>
    <row r="76">
      <c r="A76" s="52" t="n"/>
      <c r="B76" s="51">
        <f>IF(A76="","",G75)</f>
        <v/>
      </c>
      <c r="C76" s="51">
        <f>IF(A76="","",SUMIFS('Daily Sales Log'!$J:$J,'Daily Sales Log'!$A:$A,A76))</f>
        <v/>
      </c>
      <c r="D76" s="51">
        <f>IF(A76="","",SUMIFS('Credit Sales Tracker'!$H:$H,'Credit Sales Tracker'!$I:$I,A76))</f>
        <v/>
      </c>
      <c r="E76" s="51">
        <f>IF(A76="","",SUMIFS('Daily Expenses Log'!$E:$E,'Daily Expenses Log'!$A:$A,A76))</f>
        <v/>
      </c>
      <c r="F76" s="51">
        <f>IF(A76="","",SUMIFS('Creditors Tracker'!$F:$F,'Creditors Tracker'!$G:$G,A76))</f>
        <v/>
      </c>
      <c r="G76" s="51">
        <f>IF(A76="","",B76+C76+D76-E76-F76)</f>
        <v/>
      </c>
      <c r="H76" s="51">
        <f>IF(A76="","",SUM('Stock Master'!$J$2:$J$49))</f>
        <v/>
      </c>
      <c r="I76" s="51">
        <f>IF(A76="","",SUM('Credit Sales Tracker'!$J$2:$J$501))</f>
        <v/>
      </c>
      <c r="J76" s="51">
        <f>IF(A76="","",SUM('Creditors Tracker'!$H$2:$H$501))</f>
        <v/>
      </c>
      <c r="K76" s="49" t="n"/>
    </row>
    <row r="77">
      <c r="A77" s="52" t="n"/>
      <c r="B77" s="51">
        <f>IF(A77="","",G76)</f>
        <v/>
      </c>
      <c r="C77" s="51">
        <f>IF(A77="","",SUMIFS('Daily Sales Log'!$J:$J,'Daily Sales Log'!$A:$A,A77))</f>
        <v/>
      </c>
      <c r="D77" s="51">
        <f>IF(A77="","",SUMIFS('Credit Sales Tracker'!$H:$H,'Credit Sales Tracker'!$I:$I,A77))</f>
        <v/>
      </c>
      <c r="E77" s="51">
        <f>IF(A77="","",SUMIFS('Daily Expenses Log'!$E:$E,'Daily Expenses Log'!$A:$A,A77))</f>
        <v/>
      </c>
      <c r="F77" s="51">
        <f>IF(A77="","",SUMIFS('Creditors Tracker'!$F:$F,'Creditors Tracker'!$G:$G,A77))</f>
        <v/>
      </c>
      <c r="G77" s="51">
        <f>IF(A77="","",B77+C77+D77-E77-F77)</f>
        <v/>
      </c>
      <c r="H77" s="51">
        <f>IF(A77="","",SUM('Stock Master'!$J$2:$J$49))</f>
        <v/>
      </c>
      <c r="I77" s="51">
        <f>IF(A77="","",SUM('Credit Sales Tracker'!$J$2:$J$501))</f>
        <v/>
      </c>
      <c r="J77" s="51">
        <f>IF(A77="","",SUM('Creditors Tracker'!$H$2:$H$501))</f>
        <v/>
      </c>
      <c r="K77" s="49" t="n"/>
    </row>
    <row r="78">
      <c r="A78" s="52" t="n"/>
      <c r="B78" s="51">
        <f>IF(A78="","",G77)</f>
        <v/>
      </c>
      <c r="C78" s="51">
        <f>IF(A78="","",SUMIFS('Daily Sales Log'!$J:$J,'Daily Sales Log'!$A:$A,A78))</f>
        <v/>
      </c>
      <c r="D78" s="51">
        <f>IF(A78="","",SUMIFS('Credit Sales Tracker'!$H:$H,'Credit Sales Tracker'!$I:$I,A78))</f>
        <v/>
      </c>
      <c r="E78" s="51">
        <f>IF(A78="","",SUMIFS('Daily Expenses Log'!$E:$E,'Daily Expenses Log'!$A:$A,A78))</f>
        <v/>
      </c>
      <c r="F78" s="51">
        <f>IF(A78="","",SUMIFS('Creditors Tracker'!$F:$F,'Creditors Tracker'!$G:$G,A78))</f>
        <v/>
      </c>
      <c r="G78" s="51">
        <f>IF(A78="","",B78+C78+D78-E78-F78)</f>
        <v/>
      </c>
      <c r="H78" s="51">
        <f>IF(A78="","",SUM('Stock Master'!$J$2:$J$49))</f>
        <v/>
      </c>
      <c r="I78" s="51">
        <f>IF(A78="","",SUM('Credit Sales Tracker'!$J$2:$J$501))</f>
        <v/>
      </c>
      <c r="J78" s="51">
        <f>IF(A78="","",SUM('Creditors Tracker'!$H$2:$H$501))</f>
        <v/>
      </c>
      <c r="K78" s="49" t="n"/>
    </row>
    <row r="79">
      <c r="A79" s="52" t="n"/>
      <c r="B79" s="51">
        <f>IF(A79="","",G78)</f>
        <v/>
      </c>
      <c r="C79" s="51">
        <f>IF(A79="","",SUMIFS('Daily Sales Log'!$J:$J,'Daily Sales Log'!$A:$A,A79))</f>
        <v/>
      </c>
      <c r="D79" s="51">
        <f>IF(A79="","",SUMIFS('Credit Sales Tracker'!$H:$H,'Credit Sales Tracker'!$I:$I,A79))</f>
        <v/>
      </c>
      <c r="E79" s="51">
        <f>IF(A79="","",SUMIFS('Daily Expenses Log'!$E:$E,'Daily Expenses Log'!$A:$A,A79))</f>
        <v/>
      </c>
      <c r="F79" s="51">
        <f>IF(A79="","",SUMIFS('Creditors Tracker'!$F:$F,'Creditors Tracker'!$G:$G,A79))</f>
        <v/>
      </c>
      <c r="G79" s="51">
        <f>IF(A79="","",B79+C79+D79-E79-F79)</f>
        <v/>
      </c>
      <c r="H79" s="51">
        <f>IF(A79="","",SUM('Stock Master'!$J$2:$J$49))</f>
        <v/>
      </c>
      <c r="I79" s="51">
        <f>IF(A79="","",SUM('Credit Sales Tracker'!$J$2:$J$501))</f>
        <v/>
      </c>
      <c r="J79" s="51">
        <f>IF(A79="","",SUM('Creditors Tracker'!$H$2:$H$501))</f>
        <v/>
      </c>
      <c r="K79" s="49" t="n"/>
    </row>
    <row r="80">
      <c r="A80" s="52" t="n"/>
      <c r="B80" s="51">
        <f>IF(A80="","",G79)</f>
        <v/>
      </c>
      <c r="C80" s="51">
        <f>IF(A80="","",SUMIFS('Daily Sales Log'!$J:$J,'Daily Sales Log'!$A:$A,A80))</f>
        <v/>
      </c>
      <c r="D80" s="51">
        <f>IF(A80="","",SUMIFS('Credit Sales Tracker'!$H:$H,'Credit Sales Tracker'!$I:$I,A80))</f>
        <v/>
      </c>
      <c r="E80" s="51">
        <f>IF(A80="","",SUMIFS('Daily Expenses Log'!$E:$E,'Daily Expenses Log'!$A:$A,A80))</f>
        <v/>
      </c>
      <c r="F80" s="51">
        <f>IF(A80="","",SUMIFS('Creditors Tracker'!$F:$F,'Creditors Tracker'!$G:$G,A80))</f>
        <v/>
      </c>
      <c r="G80" s="51">
        <f>IF(A80="","",B80+C80+D80-E80-F80)</f>
        <v/>
      </c>
      <c r="H80" s="51">
        <f>IF(A80="","",SUM('Stock Master'!$J$2:$J$49))</f>
        <v/>
      </c>
      <c r="I80" s="51">
        <f>IF(A80="","",SUM('Credit Sales Tracker'!$J$2:$J$501))</f>
        <v/>
      </c>
      <c r="J80" s="51">
        <f>IF(A80="","",SUM('Creditors Tracker'!$H$2:$H$501))</f>
        <v/>
      </c>
      <c r="K80" s="49" t="n"/>
    </row>
    <row r="81">
      <c r="A81" s="52" t="n"/>
      <c r="B81" s="51">
        <f>IF(A81="","",G80)</f>
        <v/>
      </c>
      <c r="C81" s="51">
        <f>IF(A81="","",SUMIFS('Daily Sales Log'!$J:$J,'Daily Sales Log'!$A:$A,A81))</f>
        <v/>
      </c>
      <c r="D81" s="51">
        <f>IF(A81="","",SUMIFS('Credit Sales Tracker'!$H:$H,'Credit Sales Tracker'!$I:$I,A81))</f>
        <v/>
      </c>
      <c r="E81" s="51">
        <f>IF(A81="","",SUMIFS('Daily Expenses Log'!$E:$E,'Daily Expenses Log'!$A:$A,A81))</f>
        <v/>
      </c>
      <c r="F81" s="51">
        <f>IF(A81="","",SUMIFS('Creditors Tracker'!$F:$F,'Creditors Tracker'!$G:$G,A81))</f>
        <v/>
      </c>
      <c r="G81" s="51">
        <f>IF(A81="","",B81+C81+D81-E81-F81)</f>
        <v/>
      </c>
      <c r="H81" s="51">
        <f>IF(A81="","",SUM('Stock Master'!$J$2:$J$49))</f>
        <v/>
      </c>
      <c r="I81" s="51">
        <f>IF(A81="","",SUM('Credit Sales Tracker'!$J$2:$J$501))</f>
        <v/>
      </c>
      <c r="J81" s="51">
        <f>IF(A81="","",SUM('Creditors Tracker'!$H$2:$H$501))</f>
        <v/>
      </c>
      <c r="K81" s="49" t="n"/>
    </row>
    <row r="82">
      <c r="A82" s="52" t="n"/>
      <c r="B82" s="51">
        <f>IF(A82="","",G81)</f>
        <v/>
      </c>
      <c r="C82" s="51">
        <f>IF(A82="","",SUMIFS('Daily Sales Log'!$J:$J,'Daily Sales Log'!$A:$A,A82))</f>
        <v/>
      </c>
      <c r="D82" s="51">
        <f>IF(A82="","",SUMIFS('Credit Sales Tracker'!$H:$H,'Credit Sales Tracker'!$I:$I,A82))</f>
        <v/>
      </c>
      <c r="E82" s="51">
        <f>IF(A82="","",SUMIFS('Daily Expenses Log'!$E:$E,'Daily Expenses Log'!$A:$A,A82))</f>
        <v/>
      </c>
      <c r="F82" s="51">
        <f>IF(A82="","",SUMIFS('Creditors Tracker'!$F:$F,'Creditors Tracker'!$G:$G,A82))</f>
        <v/>
      </c>
      <c r="G82" s="51">
        <f>IF(A82="","",B82+C82+D82-E82-F82)</f>
        <v/>
      </c>
      <c r="H82" s="51">
        <f>IF(A82="","",SUM('Stock Master'!$J$2:$J$49))</f>
        <v/>
      </c>
      <c r="I82" s="51">
        <f>IF(A82="","",SUM('Credit Sales Tracker'!$J$2:$J$501))</f>
        <v/>
      </c>
      <c r="J82" s="51">
        <f>IF(A82="","",SUM('Creditors Tracker'!$H$2:$H$501))</f>
        <v/>
      </c>
      <c r="K82" s="49" t="n"/>
    </row>
    <row r="83">
      <c r="A83" s="52" t="n"/>
      <c r="B83" s="51">
        <f>IF(A83="","",G82)</f>
        <v/>
      </c>
      <c r="C83" s="51">
        <f>IF(A83="","",SUMIFS('Daily Sales Log'!$J:$J,'Daily Sales Log'!$A:$A,A83))</f>
        <v/>
      </c>
      <c r="D83" s="51">
        <f>IF(A83="","",SUMIFS('Credit Sales Tracker'!$H:$H,'Credit Sales Tracker'!$I:$I,A83))</f>
        <v/>
      </c>
      <c r="E83" s="51">
        <f>IF(A83="","",SUMIFS('Daily Expenses Log'!$E:$E,'Daily Expenses Log'!$A:$A,A83))</f>
        <v/>
      </c>
      <c r="F83" s="51">
        <f>IF(A83="","",SUMIFS('Creditors Tracker'!$F:$F,'Creditors Tracker'!$G:$G,A83))</f>
        <v/>
      </c>
      <c r="G83" s="51">
        <f>IF(A83="","",B83+C83+D83-E83-F83)</f>
        <v/>
      </c>
      <c r="H83" s="51">
        <f>IF(A83="","",SUM('Stock Master'!$J$2:$J$49))</f>
        <v/>
      </c>
      <c r="I83" s="51">
        <f>IF(A83="","",SUM('Credit Sales Tracker'!$J$2:$J$501))</f>
        <v/>
      </c>
      <c r="J83" s="51">
        <f>IF(A83="","",SUM('Creditors Tracker'!$H$2:$H$501))</f>
        <v/>
      </c>
      <c r="K83" s="49" t="n"/>
    </row>
    <row r="84">
      <c r="A84" s="52" t="n"/>
      <c r="B84" s="51">
        <f>IF(A84="","",G83)</f>
        <v/>
      </c>
      <c r="C84" s="51">
        <f>IF(A84="","",SUMIFS('Daily Sales Log'!$J:$J,'Daily Sales Log'!$A:$A,A84))</f>
        <v/>
      </c>
      <c r="D84" s="51">
        <f>IF(A84="","",SUMIFS('Credit Sales Tracker'!$H:$H,'Credit Sales Tracker'!$I:$I,A84))</f>
        <v/>
      </c>
      <c r="E84" s="51">
        <f>IF(A84="","",SUMIFS('Daily Expenses Log'!$E:$E,'Daily Expenses Log'!$A:$A,A84))</f>
        <v/>
      </c>
      <c r="F84" s="51">
        <f>IF(A84="","",SUMIFS('Creditors Tracker'!$F:$F,'Creditors Tracker'!$G:$G,A84))</f>
        <v/>
      </c>
      <c r="G84" s="51">
        <f>IF(A84="","",B84+C84+D84-E84-F84)</f>
        <v/>
      </c>
      <c r="H84" s="51">
        <f>IF(A84="","",SUM('Stock Master'!$J$2:$J$49))</f>
        <v/>
      </c>
      <c r="I84" s="51">
        <f>IF(A84="","",SUM('Credit Sales Tracker'!$J$2:$J$501))</f>
        <v/>
      </c>
      <c r="J84" s="51">
        <f>IF(A84="","",SUM('Creditors Tracker'!$H$2:$H$501))</f>
        <v/>
      </c>
      <c r="K84" s="49" t="n"/>
    </row>
    <row r="85">
      <c r="A85" s="52" t="n"/>
      <c r="B85" s="51">
        <f>IF(A85="","",G84)</f>
        <v/>
      </c>
      <c r="C85" s="51">
        <f>IF(A85="","",SUMIFS('Daily Sales Log'!$J:$J,'Daily Sales Log'!$A:$A,A85))</f>
        <v/>
      </c>
      <c r="D85" s="51">
        <f>IF(A85="","",SUMIFS('Credit Sales Tracker'!$H:$H,'Credit Sales Tracker'!$I:$I,A85))</f>
        <v/>
      </c>
      <c r="E85" s="51">
        <f>IF(A85="","",SUMIFS('Daily Expenses Log'!$E:$E,'Daily Expenses Log'!$A:$A,A85))</f>
        <v/>
      </c>
      <c r="F85" s="51">
        <f>IF(A85="","",SUMIFS('Creditors Tracker'!$F:$F,'Creditors Tracker'!$G:$G,A85))</f>
        <v/>
      </c>
      <c r="G85" s="51">
        <f>IF(A85="","",B85+C85+D85-E85-F85)</f>
        <v/>
      </c>
      <c r="H85" s="51">
        <f>IF(A85="","",SUM('Stock Master'!$J$2:$J$49))</f>
        <v/>
      </c>
      <c r="I85" s="51">
        <f>IF(A85="","",SUM('Credit Sales Tracker'!$J$2:$J$501))</f>
        <v/>
      </c>
      <c r="J85" s="51">
        <f>IF(A85="","",SUM('Creditors Tracker'!$H$2:$H$501))</f>
        <v/>
      </c>
      <c r="K85" s="49" t="n"/>
    </row>
    <row r="86">
      <c r="A86" s="52" t="n"/>
      <c r="B86" s="51">
        <f>IF(A86="","",G85)</f>
        <v/>
      </c>
      <c r="C86" s="51">
        <f>IF(A86="","",SUMIFS('Daily Sales Log'!$J:$J,'Daily Sales Log'!$A:$A,A86))</f>
        <v/>
      </c>
      <c r="D86" s="51">
        <f>IF(A86="","",SUMIFS('Credit Sales Tracker'!$H:$H,'Credit Sales Tracker'!$I:$I,A86))</f>
        <v/>
      </c>
      <c r="E86" s="51">
        <f>IF(A86="","",SUMIFS('Daily Expenses Log'!$E:$E,'Daily Expenses Log'!$A:$A,A86))</f>
        <v/>
      </c>
      <c r="F86" s="51">
        <f>IF(A86="","",SUMIFS('Creditors Tracker'!$F:$F,'Creditors Tracker'!$G:$G,A86))</f>
        <v/>
      </c>
      <c r="G86" s="51">
        <f>IF(A86="","",B86+C86+D86-E86-F86)</f>
        <v/>
      </c>
      <c r="H86" s="51">
        <f>IF(A86="","",SUM('Stock Master'!$J$2:$J$49))</f>
        <v/>
      </c>
      <c r="I86" s="51">
        <f>IF(A86="","",SUM('Credit Sales Tracker'!$J$2:$J$501))</f>
        <v/>
      </c>
      <c r="J86" s="51">
        <f>IF(A86="","",SUM('Creditors Tracker'!$H$2:$H$501))</f>
        <v/>
      </c>
      <c r="K86" s="49" t="n"/>
    </row>
    <row r="87">
      <c r="A87" s="52" t="n"/>
      <c r="B87" s="51">
        <f>IF(A87="","",G86)</f>
        <v/>
      </c>
      <c r="C87" s="51">
        <f>IF(A87="","",SUMIFS('Daily Sales Log'!$J:$J,'Daily Sales Log'!$A:$A,A87))</f>
        <v/>
      </c>
      <c r="D87" s="51">
        <f>IF(A87="","",SUMIFS('Credit Sales Tracker'!$H:$H,'Credit Sales Tracker'!$I:$I,A87))</f>
        <v/>
      </c>
      <c r="E87" s="51">
        <f>IF(A87="","",SUMIFS('Daily Expenses Log'!$E:$E,'Daily Expenses Log'!$A:$A,A87))</f>
        <v/>
      </c>
      <c r="F87" s="51">
        <f>IF(A87="","",SUMIFS('Creditors Tracker'!$F:$F,'Creditors Tracker'!$G:$G,A87))</f>
        <v/>
      </c>
      <c r="G87" s="51">
        <f>IF(A87="","",B87+C87+D87-E87-F87)</f>
        <v/>
      </c>
      <c r="H87" s="51">
        <f>IF(A87="","",SUM('Stock Master'!$J$2:$J$49))</f>
        <v/>
      </c>
      <c r="I87" s="51">
        <f>IF(A87="","",SUM('Credit Sales Tracker'!$J$2:$J$501))</f>
        <v/>
      </c>
      <c r="J87" s="51">
        <f>IF(A87="","",SUM('Creditors Tracker'!$H$2:$H$501))</f>
        <v/>
      </c>
      <c r="K87" s="49" t="n"/>
    </row>
    <row r="88">
      <c r="A88" s="52" t="n"/>
      <c r="B88" s="51">
        <f>IF(A88="","",G87)</f>
        <v/>
      </c>
      <c r="C88" s="51">
        <f>IF(A88="","",SUMIFS('Daily Sales Log'!$J:$J,'Daily Sales Log'!$A:$A,A88))</f>
        <v/>
      </c>
      <c r="D88" s="51">
        <f>IF(A88="","",SUMIFS('Credit Sales Tracker'!$H:$H,'Credit Sales Tracker'!$I:$I,A88))</f>
        <v/>
      </c>
      <c r="E88" s="51">
        <f>IF(A88="","",SUMIFS('Daily Expenses Log'!$E:$E,'Daily Expenses Log'!$A:$A,A88))</f>
        <v/>
      </c>
      <c r="F88" s="51">
        <f>IF(A88="","",SUMIFS('Creditors Tracker'!$F:$F,'Creditors Tracker'!$G:$G,A88))</f>
        <v/>
      </c>
      <c r="G88" s="51">
        <f>IF(A88="","",B88+C88+D88-E88-F88)</f>
        <v/>
      </c>
      <c r="H88" s="51">
        <f>IF(A88="","",SUM('Stock Master'!$J$2:$J$49))</f>
        <v/>
      </c>
      <c r="I88" s="51">
        <f>IF(A88="","",SUM('Credit Sales Tracker'!$J$2:$J$501))</f>
        <v/>
      </c>
      <c r="J88" s="51">
        <f>IF(A88="","",SUM('Creditors Tracker'!$H$2:$H$501))</f>
        <v/>
      </c>
      <c r="K88" s="49" t="n"/>
    </row>
    <row r="89">
      <c r="A89" s="52" t="n"/>
      <c r="B89" s="51">
        <f>IF(A89="","",G88)</f>
        <v/>
      </c>
      <c r="C89" s="51">
        <f>IF(A89="","",SUMIFS('Daily Sales Log'!$J:$J,'Daily Sales Log'!$A:$A,A89))</f>
        <v/>
      </c>
      <c r="D89" s="51">
        <f>IF(A89="","",SUMIFS('Credit Sales Tracker'!$H:$H,'Credit Sales Tracker'!$I:$I,A89))</f>
        <v/>
      </c>
      <c r="E89" s="51">
        <f>IF(A89="","",SUMIFS('Daily Expenses Log'!$E:$E,'Daily Expenses Log'!$A:$A,A89))</f>
        <v/>
      </c>
      <c r="F89" s="51">
        <f>IF(A89="","",SUMIFS('Creditors Tracker'!$F:$F,'Creditors Tracker'!$G:$G,A89))</f>
        <v/>
      </c>
      <c r="G89" s="51">
        <f>IF(A89="","",B89+C89+D89-E89-F89)</f>
        <v/>
      </c>
      <c r="H89" s="51">
        <f>IF(A89="","",SUM('Stock Master'!$J$2:$J$49))</f>
        <v/>
      </c>
      <c r="I89" s="51">
        <f>IF(A89="","",SUM('Credit Sales Tracker'!$J$2:$J$501))</f>
        <v/>
      </c>
      <c r="J89" s="51">
        <f>IF(A89="","",SUM('Creditors Tracker'!$H$2:$H$501))</f>
        <v/>
      </c>
      <c r="K89" s="49" t="n"/>
    </row>
    <row r="90">
      <c r="A90" s="52" t="n"/>
      <c r="B90" s="51">
        <f>IF(A90="","",G89)</f>
        <v/>
      </c>
      <c r="C90" s="51">
        <f>IF(A90="","",SUMIFS('Daily Sales Log'!$J:$J,'Daily Sales Log'!$A:$A,A90))</f>
        <v/>
      </c>
      <c r="D90" s="51">
        <f>IF(A90="","",SUMIFS('Credit Sales Tracker'!$H:$H,'Credit Sales Tracker'!$I:$I,A90))</f>
        <v/>
      </c>
      <c r="E90" s="51">
        <f>IF(A90="","",SUMIFS('Daily Expenses Log'!$E:$E,'Daily Expenses Log'!$A:$A,A90))</f>
        <v/>
      </c>
      <c r="F90" s="51">
        <f>IF(A90="","",SUMIFS('Creditors Tracker'!$F:$F,'Creditors Tracker'!$G:$G,A90))</f>
        <v/>
      </c>
      <c r="G90" s="51">
        <f>IF(A90="","",B90+C90+D90-E90-F90)</f>
        <v/>
      </c>
      <c r="H90" s="51">
        <f>IF(A90="","",SUM('Stock Master'!$J$2:$J$49))</f>
        <v/>
      </c>
      <c r="I90" s="51">
        <f>IF(A90="","",SUM('Credit Sales Tracker'!$J$2:$J$501))</f>
        <v/>
      </c>
      <c r="J90" s="51">
        <f>IF(A90="","",SUM('Creditors Tracker'!$H$2:$H$501))</f>
        <v/>
      </c>
      <c r="K90" s="49" t="n"/>
    </row>
    <row r="91">
      <c r="A91" s="52" t="n"/>
      <c r="B91" s="51">
        <f>IF(A91="","",G90)</f>
        <v/>
      </c>
      <c r="C91" s="51">
        <f>IF(A91="","",SUMIFS('Daily Sales Log'!$J:$J,'Daily Sales Log'!$A:$A,A91))</f>
        <v/>
      </c>
      <c r="D91" s="51">
        <f>IF(A91="","",SUMIFS('Credit Sales Tracker'!$H:$H,'Credit Sales Tracker'!$I:$I,A91))</f>
        <v/>
      </c>
      <c r="E91" s="51">
        <f>IF(A91="","",SUMIFS('Daily Expenses Log'!$E:$E,'Daily Expenses Log'!$A:$A,A91))</f>
        <v/>
      </c>
      <c r="F91" s="51">
        <f>IF(A91="","",SUMIFS('Creditors Tracker'!$F:$F,'Creditors Tracker'!$G:$G,A91))</f>
        <v/>
      </c>
      <c r="G91" s="51">
        <f>IF(A91="","",B91+C91+D91-E91-F91)</f>
        <v/>
      </c>
      <c r="H91" s="51">
        <f>IF(A91="","",SUM('Stock Master'!$J$2:$J$49))</f>
        <v/>
      </c>
      <c r="I91" s="51">
        <f>IF(A91="","",SUM('Credit Sales Tracker'!$J$2:$J$501))</f>
        <v/>
      </c>
      <c r="J91" s="51">
        <f>IF(A91="","",SUM('Creditors Tracker'!$H$2:$H$501))</f>
        <v/>
      </c>
      <c r="K91" s="49" t="n"/>
    </row>
    <row r="92">
      <c r="A92" s="52" t="n"/>
      <c r="B92" s="51">
        <f>IF(A92="","",G91)</f>
        <v/>
      </c>
      <c r="C92" s="51">
        <f>IF(A92="","",SUMIFS('Daily Sales Log'!$J:$J,'Daily Sales Log'!$A:$A,A92))</f>
        <v/>
      </c>
      <c r="D92" s="51">
        <f>IF(A92="","",SUMIFS('Credit Sales Tracker'!$H:$H,'Credit Sales Tracker'!$I:$I,A92))</f>
        <v/>
      </c>
      <c r="E92" s="51">
        <f>IF(A92="","",SUMIFS('Daily Expenses Log'!$E:$E,'Daily Expenses Log'!$A:$A,A92))</f>
        <v/>
      </c>
      <c r="F92" s="51">
        <f>IF(A92="","",SUMIFS('Creditors Tracker'!$F:$F,'Creditors Tracker'!$G:$G,A92))</f>
        <v/>
      </c>
      <c r="G92" s="51">
        <f>IF(A92="","",B92+C92+D92-E92-F92)</f>
        <v/>
      </c>
      <c r="H92" s="51">
        <f>IF(A92="","",SUM('Stock Master'!$J$2:$J$49))</f>
        <v/>
      </c>
      <c r="I92" s="51">
        <f>IF(A92="","",SUM('Credit Sales Tracker'!$J$2:$J$501))</f>
        <v/>
      </c>
      <c r="J92" s="51">
        <f>IF(A92="","",SUM('Creditors Tracker'!$H$2:$H$501))</f>
        <v/>
      </c>
      <c r="K92" s="49" t="n"/>
    </row>
    <row r="93">
      <c r="A93" s="52" t="n"/>
      <c r="B93" s="51">
        <f>IF(A93="","",G92)</f>
        <v/>
      </c>
      <c r="C93" s="51">
        <f>IF(A93="","",SUMIFS('Daily Sales Log'!$J:$J,'Daily Sales Log'!$A:$A,A93))</f>
        <v/>
      </c>
      <c r="D93" s="51">
        <f>IF(A93="","",SUMIFS('Credit Sales Tracker'!$H:$H,'Credit Sales Tracker'!$I:$I,A93))</f>
        <v/>
      </c>
      <c r="E93" s="51">
        <f>IF(A93="","",SUMIFS('Daily Expenses Log'!$E:$E,'Daily Expenses Log'!$A:$A,A93))</f>
        <v/>
      </c>
      <c r="F93" s="51">
        <f>IF(A93="","",SUMIFS('Creditors Tracker'!$F:$F,'Creditors Tracker'!$G:$G,A93))</f>
        <v/>
      </c>
      <c r="G93" s="51">
        <f>IF(A93="","",B93+C93+D93-E93-F93)</f>
        <v/>
      </c>
      <c r="H93" s="51">
        <f>IF(A93="","",SUM('Stock Master'!$J$2:$J$49))</f>
        <v/>
      </c>
      <c r="I93" s="51">
        <f>IF(A93="","",SUM('Credit Sales Tracker'!$J$2:$J$501))</f>
        <v/>
      </c>
      <c r="J93" s="51">
        <f>IF(A93="","",SUM('Creditors Tracker'!$H$2:$H$501))</f>
        <v/>
      </c>
      <c r="K93" s="49" t="n"/>
    </row>
    <row r="94">
      <c r="A94" s="52" t="n"/>
      <c r="B94" s="51">
        <f>IF(A94="","",G93)</f>
        <v/>
      </c>
      <c r="C94" s="51">
        <f>IF(A94="","",SUMIFS('Daily Sales Log'!$J:$J,'Daily Sales Log'!$A:$A,A94))</f>
        <v/>
      </c>
      <c r="D94" s="51">
        <f>IF(A94="","",SUMIFS('Credit Sales Tracker'!$H:$H,'Credit Sales Tracker'!$I:$I,A94))</f>
        <v/>
      </c>
      <c r="E94" s="51">
        <f>IF(A94="","",SUMIFS('Daily Expenses Log'!$E:$E,'Daily Expenses Log'!$A:$A,A94))</f>
        <v/>
      </c>
      <c r="F94" s="51">
        <f>IF(A94="","",SUMIFS('Creditors Tracker'!$F:$F,'Creditors Tracker'!$G:$G,A94))</f>
        <v/>
      </c>
      <c r="G94" s="51">
        <f>IF(A94="","",B94+C94+D94-E94-F94)</f>
        <v/>
      </c>
      <c r="H94" s="51">
        <f>IF(A94="","",SUM('Stock Master'!$J$2:$J$49))</f>
        <v/>
      </c>
      <c r="I94" s="51">
        <f>IF(A94="","",SUM('Credit Sales Tracker'!$J$2:$J$501))</f>
        <v/>
      </c>
      <c r="J94" s="51">
        <f>IF(A94="","",SUM('Creditors Tracker'!$H$2:$H$501))</f>
        <v/>
      </c>
      <c r="K94" s="49" t="n"/>
    </row>
    <row r="95">
      <c r="A95" s="52" t="n"/>
      <c r="B95" s="51">
        <f>IF(A95="","",G94)</f>
        <v/>
      </c>
      <c r="C95" s="51">
        <f>IF(A95="","",SUMIFS('Daily Sales Log'!$J:$J,'Daily Sales Log'!$A:$A,A95))</f>
        <v/>
      </c>
      <c r="D95" s="51">
        <f>IF(A95="","",SUMIFS('Credit Sales Tracker'!$H:$H,'Credit Sales Tracker'!$I:$I,A95))</f>
        <v/>
      </c>
      <c r="E95" s="51">
        <f>IF(A95="","",SUMIFS('Daily Expenses Log'!$E:$E,'Daily Expenses Log'!$A:$A,A95))</f>
        <v/>
      </c>
      <c r="F95" s="51">
        <f>IF(A95="","",SUMIFS('Creditors Tracker'!$F:$F,'Creditors Tracker'!$G:$G,A95))</f>
        <v/>
      </c>
      <c r="G95" s="51">
        <f>IF(A95="","",B95+C95+D95-E95-F95)</f>
        <v/>
      </c>
      <c r="H95" s="51">
        <f>IF(A95="","",SUM('Stock Master'!$J$2:$J$49))</f>
        <v/>
      </c>
      <c r="I95" s="51">
        <f>IF(A95="","",SUM('Credit Sales Tracker'!$J$2:$J$501))</f>
        <v/>
      </c>
      <c r="J95" s="51">
        <f>IF(A95="","",SUM('Creditors Tracker'!$H$2:$H$501))</f>
        <v/>
      </c>
      <c r="K95" s="49" t="n"/>
    </row>
    <row r="96">
      <c r="A96" s="52" t="n"/>
      <c r="B96" s="51">
        <f>IF(A96="","",G95)</f>
        <v/>
      </c>
      <c r="C96" s="51">
        <f>IF(A96="","",SUMIFS('Daily Sales Log'!$J:$J,'Daily Sales Log'!$A:$A,A96))</f>
        <v/>
      </c>
      <c r="D96" s="51">
        <f>IF(A96="","",SUMIFS('Credit Sales Tracker'!$H:$H,'Credit Sales Tracker'!$I:$I,A96))</f>
        <v/>
      </c>
      <c r="E96" s="51">
        <f>IF(A96="","",SUMIFS('Daily Expenses Log'!$E:$E,'Daily Expenses Log'!$A:$A,A96))</f>
        <v/>
      </c>
      <c r="F96" s="51">
        <f>IF(A96="","",SUMIFS('Creditors Tracker'!$F:$F,'Creditors Tracker'!$G:$G,A96))</f>
        <v/>
      </c>
      <c r="G96" s="51">
        <f>IF(A96="","",B96+C96+D96-E96-F96)</f>
        <v/>
      </c>
      <c r="H96" s="51">
        <f>IF(A96="","",SUM('Stock Master'!$J$2:$J$49))</f>
        <v/>
      </c>
      <c r="I96" s="51">
        <f>IF(A96="","",SUM('Credit Sales Tracker'!$J$2:$J$501))</f>
        <v/>
      </c>
      <c r="J96" s="51">
        <f>IF(A96="","",SUM('Creditors Tracker'!$H$2:$H$501))</f>
        <v/>
      </c>
      <c r="K96" s="49" t="n"/>
    </row>
    <row r="97">
      <c r="A97" s="52" t="n"/>
      <c r="B97" s="51">
        <f>IF(A97="","",G96)</f>
        <v/>
      </c>
      <c r="C97" s="51">
        <f>IF(A97="","",SUMIFS('Daily Sales Log'!$J:$J,'Daily Sales Log'!$A:$A,A97))</f>
        <v/>
      </c>
      <c r="D97" s="51">
        <f>IF(A97="","",SUMIFS('Credit Sales Tracker'!$H:$H,'Credit Sales Tracker'!$I:$I,A97))</f>
        <v/>
      </c>
      <c r="E97" s="51">
        <f>IF(A97="","",SUMIFS('Daily Expenses Log'!$E:$E,'Daily Expenses Log'!$A:$A,A97))</f>
        <v/>
      </c>
      <c r="F97" s="51">
        <f>IF(A97="","",SUMIFS('Creditors Tracker'!$F:$F,'Creditors Tracker'!$G:$G,A97))</f>
        <v/>
      </c>
      <c r="G97" s="51">
        <f>IF(A97="","",B97+C97+D97-E97-F97)</f>
        <v/>
      </c>
      <c r="H97" s="51">
        <f>IF(A97="","",SUM('Stock Master'!$J$2:$J$49))</f>
        <v/>
      </c>
      <c r="I97" s="51">
        <f>IF(A97="","",SUM('Credit Sales Tracker'!$J$2:$J$501))</f>
        <v/>
      </c>
      <c r="J97" s="51">
        <f>IF(A97="","",SUM('Creditors Tracker'!$H$2:$H$501))</f>
        <v/>
      </c>
      <c r="K97" s="49" t="n"/>
    </row>
    <row r="98">
      <c r="A98" s="52" t="n"/>
      <c r="B98" s="51">
        <f>IF(A98="","",G97)</f>
        <v/>
      </c>
      <c r="C98" s="51">
        <f>IF(A98="","",SUMIFS('Daily Sales Log'!$J:$J,'Daily Sales Log'!$A:$A,A98))</f>
        <v/>
      </c>
      <c r="D98" s="51">
        <f>IF(A98="","",SUMIFS('Credit Sales Tracker'!$H:$H,'Credit Sales Tracker'!$I:$I,A98))</f>
        <v/>
      </c>
      <c r="E98" s="51">
        <f>IF(A98="","",SUMIFS('Daily Expenses Log'!$E:$E,'Daily Expenses Log'!$A:$A,A98))</f>
        <v/>
      </c>
      <c r="F98" s="51">
        <f>IF(A98="","",SUMIFS('Creditors Tracker'!$F:$F,'Creditors Tracker'!$G:$G,A98))</f>
        <v/>
      </c>
      <c r="G98" s="51">
        <f>IF(A98="","",B98+C98+D98-E98-F98)</f>
        <v/>
      </c>
      <c r="H98" s="51">
        <f>IF(A98="","",SUM('Stock Master'!$J$2:$J$49))</f>
        <v/>
      </c>
      <c r="I98" s="51">
        <f>IF(A98="","",SUM('Credit Sales Tracker'!$J$2:$J$501))</f>
        <v/>
      </c>
      <c r="J98" s="51">
        <f>IF(A98="","",SUM('Creditors Tracker'!$H$2:$H$501))</f>
        <v/>
      </c>
      <c r="K98" s="49" t="n"/>
    </row>
    <row r="99">
      <c r="A99" s="52" t="n"/>
      <c r="B99" s="51">
        <f>IF(A99="","",G98)</f>
        <v/>
      </c>
      <c r="C99" s="51">
        <f>IF(A99="","",SUMIFS('Daily Sales Log'!$J:$J,'Daily Sales Log'!$A:$A,A99))</f>
        <v/>
      </c>
      <c r="D99" s="51">
        <f>IF(A99="","",SUMIFS('Credit Sales Tracker'!$H:$H,'Credit Sales Tracker'!$I:$I,A99))</f>
        <v/>
      </c>
      <c r="E99" s="51">
        <f>IF(A99="","",SUMIFS('Daily Expenses Log'!$E:$E,'Daily Expenses Log'!$A:$A,A99))</f>
        <v/>
      </c>
      <c r="F99" s="51">
        <f>IF(A99="","",SUMIFS('Creditors Tracker'!$F:$F,'Creditors Tracker'!$G:$G,A99))</f>
        <v/>
      </c>
      <c r="G99" s="51">
        <f>IF(A99="","",B99+C99+D99-E99-F99)</f>
        <v/>
      </c>
      <c r="H99" s="51">
        <f>IF(A99="","",SUM('Stock Master'!$J$2:$J$49))</f>
        <v/>
      </c>
      <c r="I99" s="51">
        <f>IF(A99="","",SUM('Credit Sales Tracker'!$J$2:$J$501))</f>
        <v/>
      </c>
      <c r="J99" s="51">
        <f>IF(A99="","",SUM('Creditors Tracker'!$H$2:$H$501))</f>
        <v/>
      </c>
      <c r="K99" s="49" t="n"/>
    </row>
    <row r="100">
      <c r="A100" s="52" t="n"/>
      <c r="B100" s="51">
        <f>IF(A100="","",G99)</f>
        <v/>
      </c>
      <c r="C100" s="51">
        <f>IF(A100="","",SUMIFS('Daily Sales Log'!$J:$J,'Daily Sales Log'!$A:$A,A100))</f>
        <v/>
      </c>
      <c r="D100" s="51">
        <f>IF(A100="","",SUMIFS('Credit Sales Tracker'!$H:$H,'Credit Sales Tracker'!$I:$I,A100))</f>
        <v/>
      </c>
      <c r="E100" s="51">
        <f>IF(A100="","",SUMIFS('Daily Expenses Log'!$E:$E,'Daily Expenses Log'!$A:$A,A100))</f>
        <v/>
      </c>
      <c r="F100" s="51">
        <f>IF(A100="","",SUMIFS('Creditors Tracker'!$F:$F,'Creditors Tracker'!$G:$G,A100))</f>
        <v/>
      </c>
      <c r="G100" s="51">
        <f>IF(A100="","",B100+C100+D100-E100-F100)</f>
        <v/>
      </c>
      <c r="H100" s="51">
        <f>IF(A100="","",SUM('Stock Master'!$J$2:$J$49))</f>
        <v/>
      </c>
      <c r="I100" s="51">
        <f>IF(A100="","",SUM('Credit Sales Tracker'!$J$2:$J$501))</f>
        <v/>
      </c>
      <c r="J100" s="51">
        <f>IF(A100="","",SUM('Creditors Tracker'!$H$2:$H$501))</f>
        <v/>
      </c>
      <c r="K100" s="49" t="n"/>
    </row>
    <row r="101">
      <c r="A101" s="52" t="n"/>
      <c r="B101" s="51">
        <f>IF(A101="","",G100)</f>
        <v/>
      </c>
      <c r="C101" s="51">
        <f>IF(A101="","",SUMIFS('Daily Sales Log'!$J:$J,'Daily Sales Log'!$A:$A,A101))</f>
        <v/>
      </c>
      <c r="D101" s="51">
        <f>IF(A101="","",SUMIFS('Credit Sales Tracker'!$H:$H,'Credit Sales Tracker'!$I:$I,A101))</f>
        <v/>
      </c>
      <c r="E101" s="51">
        <f>IF(A101="","",SUMIFS('Daily Expenses Log'!$E:$E,'Daily Expenses Log'!$A:$A,A101))</f>
        <v/>
      </c>
      <c r="F101" s="51">
        <f>IF(A101="","",SUMIFS('Creditors Tracker'!$F:$F,'Creditors Tracker'!$G:$G,A101))</f>
        <v/>
      </c>
      <c r="G101" s="51">
        <f>IF(A101="","",B101+C101+D101-E101-F101)</f>
        <v/>
      </c>
      <c r="H101" s="51">
        <f>IF(A101="","",SUM('Stock Master'!$J$2:$J$49))</f>
        <v/>
      </c>
      <c r="I101" s="51">
        <f>IF(A101="","",SUM('Credit Sales Tracker'!$J$2:$J$501))</f>
        <v/>
      </c>
      <c r="J101" s="51">
        <f>IF(A101="","",SUM('Creditors Tracker'!$H$2:$H$501))</f>
        <v/>
      </c>
      <c r="K101" s="49" t="n"/>
    </row>
    <row r="102">
      <c r="A102" s="52" t="n"/>
      <c r="B102" s="51">
        <f>IF(A102="","",G101)</f>
        <v/>
      </c>
      <c r="C102" s="51">
        <f>IF(A102="","",SUMIFS('Daily Sales Log'!$J:$J,'Daily Sales Log'!$A:$A,A102))</f>
        <v/>
      </c>
      <c r="D102" s="51">
        <f>IF(A102="","",SUMIFS('Credit Sales Tracker'!$H:$H,'Credit Sales Tracker'!$I:$I,A102))</f>
        <v/>
      </c>
      <c r="E102" s="51">
        <f>IF(A102="","",SUMIFS('Daily Expenses Log'!$E:$E,'Daily Expenses Log'!$A:$A,A102))</f>
        <v/>
      </c>
      <c r="F102" s="51">
        <f>IF(A102="","",SUMIFS('Creditors Tracker'!$F:$F,'Creditors Tracker'!$G:$G,A102))</f>
        <v/>
      </c>
      <c r="G102" s="51">
        <f>IF(A102="","",B102+C102+D102-E102-F102)</f>
        <v/>
      </c>
      <c r="H102" s="51">
        <f>IF(A102="","",SUM('Stock Master'!$J$2:$J$49))</f>
        <v/>
      </c>
      <c r="I102" s="51">
        <f>IF(A102="","",SUM('Credit Sales Tracker'!$J$2:$J$501))</f>
        <v/>
      </c>
      <c r="J102" s="51">
        <f>IF(A102="","",SUM('Creditors Tracker'!$H$2:$H$501))</f>
        <v/>
      </c>
      <c r="K102" s="49" t="n"/>
    </row>
    <row r="103">
      <c r="A103" s="52" t="n"/>
      <c r="B103" s="51">
        <f>IF(A103="","",G102)</f>
        <v/>
      </c>
      <c r="C103" s="51">
        <f>IF(A103="","",SUMIFS('Daily Sales Log'!$J:$J,'Daily Sales Log'!$A:$A,A103))</f>
        <v/>
      </c>
      <c r="D103" s="51">
        <f>IF(A103="","",SUMIFS('Credit Sales Tracker'!$H:$H,'Credit Sales Tracker'!$I:$I,A103))</f>
        <v/>
      </c>
      <c r="E103" s="51">
        <f>IF(A103="","",SUMIFS('Daily Expenses Log'!$E:$E,'Daily Expenses Log'!$A:$A,A103))</f>
        <v/>
      </c>
      <c r="F103" s="51">
        <f>IF(A103="","",SUMIFS('Creditors Tracker'!$F:$F,'Creditors Tracker'!$G:$G,A103))</f>
        <v/>
      </c>
      <c r="G103" s="51">
        <f>IF(A103="","",B103+C103+D103-E103-F103)</f>
        <v/>
      </c>
      <c r="H103" s="51">
        <f>IF(A103="","",SUM('Stock Master'!$J$2:$J$49))</f>
        <v/>
      </c>
      <c r="I103" s="51">
        <f>IF(A103="","",SUM('Credit Sales Tracker'!$J$2:$J$501))</f>
        <v/>
      </c>
      <c r="J103" s="51">
        <f>IF(A103="","",SUM('Creditors Tracker'!$H$2:$H$501))</f>
        <v/>
      </c>
      <c r="K103" s="49" t="n"/>
    </row>
    <row r="104">
      <c r="A104" s="52" t="n"/>
      <c r="B104" s="51">
        <f>IF(A104="","",G103)</f>
        <v/>
      </c>
      <c r="C104" s="51">
        <f>IF(A104="","",SUMIFS('Daily Sales Log'!$J:$J,'Daily Sales Log'!$A:$A,A104))</f>
        <v/>
      </c>
      <c r="D104" s="51">
        <f>IF(A104="","",SUMIFS('Credit Sales Tracker'!$H:$H,'Credit Sales Tracker'!$I:$I,A104))</f>
        <v/>
      </c>
      <c r="E104" s="51">
        <f>IF(A104="","",SUMIFS('Daily Expenses Log'!$E:$E,'Daily Expenses Log'!$A:$A,A104))</f>
        <v/>
      </c>
      <c r="F104" s="51">
        <f>IF(A104="","",SUMIFS('Creditors Tracker'!$F:$F,'Creditors Tracker'!$G:$G,A104))</f>
        <v/>
      </c>
      <c r="G104" s="51">
        <f>IF(A104="","",B104+C104+D104-E104-F104)</f>
        <v/>
      </c>
      <c r="H104" s="51">
        <f>IF(A104="","",SUM('Stock Master'!$J$2:$J$49))</f>
        <v/>
      </c>
      <c r="I104" s="51">
        <f>IF(A104="","",SUM('Credit Sales Tracker'!$J$2:$J$501))</f>
        <v/>
      </c>
      <c r="J104" s="51">
        <f>IF(A104="","",SUM('Creditors Tracker'!$H$2:$H$501))</f>
        <v/>
      </c>
      <c r="K104" s="49" t="n"/>
    </row>
    <row r="105">
      <c r="A105" s="52" t="n"/>
      <c r="B105" s="51">
        <f>IF(A105="","",G104)</f>
        <v/>
      </c>
      <c r="C105" s="51">
        <f>IF(A105="","",SUMIFS('Daily Sales Log'!$J:$J,'Daily Sales Log'!$A:$A,A105))</f>
        <v/>
      </c>
      <c r="D105" s="51">
        <f>IF(A105="","",SUMIFS('Credit Sales Tracker'!$H:$H,'Credit Sales Tracker'!$I:$I,A105))</f>
        <v/>
      </c>
      <c r="E105" s="51">
        <f>IF(A105="","",SUMIFS('Daily Expenses Log'!$E:$E,'Daily Expenses Log'!$A:$A,A105))</f>
        <v/>
      </c>
      <c r="F105" s="51">
        <f>IF(A105="","",SUMIFS('Creditors Tracker'!$F:$F,'Creditors Tracker'!$G:$G,A105))</f>
        <v/>
      </c>
      <c r="G105" s="51">
        <f>IF(A105="","",B105+C105+D105-E105-F105)</f>
        <v/>
      </c>
      <c r="H105" s="51">
        <f>IF(A105="","",SUM('Stock Master'!$J$2:$J$49))</f>
        <v/>
      </c>
      <c r="I105" s="51">
        <f>IF(A105="","",SUM('Credit Sales Tracker'!$J$2:$J$501))</f>
        <v/>
      </c>
      <c r="J105" s="51">
        <f>IF(A105="","",SUM('Creditors Tracker'!$H$2:$H$501))</f>
        <v/>
      </c>
      <c r="K105" s="49" t="n"/>
    </row>
    <row r="106">
      <c r="A106" s="52" t="n"/>
      <c r="B106" s="51">
        <f>IF(A106="","",G105)</f>
        <v/>
      </c>
      <c r="C106" s="51">
        <f>IF(A106="","",SUMIFS('Daily Sales Log'!$J:$J,'Daily Sales Log'!$A:$A,A106))</f>
        <v/>
      </c>
      <c r="D106" s="51">
        <f>IF(A106="","",SUMIFS('Credit Sales Tracker'!$H:$H,'Credit Sales Tracker'!$I:$I,A106))</f>
        <v/>
      </c>
      <c r="E106" s="51">
        <f>IF(A106="","",SUMIFS('Daily Expenses Log'!$E:$E,'Daily Expenses Log'!$A:$A,A106))</f>
        <v/>
      </c>
      <c r="F106" s="51">
        <f>IF(A106="","",SUMIFS('Creditors Tracker'!$F:$F,'Creditors Tracker'!$G:$G,A106))</f>
        <v/>
      </c>
      <c r="G106" s="51">
        <f>IF(A106="","",B106+C106+D106-E106-F106)</f>
        <v/>
      </c>
      <c r="H106" s="51">
        <f>IF(A106="","",SUM('Stock Master'!$J$2:$J$49))</f>
        <v/>
      </c>
      <c r="I106" s="51">
        <f>IF(A106="","",SUM('Credit Sales Tracker'!$J$2:$J$501))</f>
        <v/>
      </c>
      <c r="J106" s="51">
        <f>IF(A106="","",SUM('Creditors Tracker'!$H$2:$H$501))</f>
        <v/>
      </c>
      <c r="K106" s="49" t="n"/>
    </row>
    <row r="107">
      <c r="A107" s="52" t="n"/>
      <c r="B107" s="51">
        <f>IF(A107="","",G106)</f>
        <v/>
      </c>
      <c r="C107" s="51">
        <f>IF(A107="","",SUMIFS('Daily Sales Log'!$J:$J,'Daily Sales Log'!$A:$A,A107))</f>
        <v/>
      </c>
      <c r="D107" s="51">
        <f>IF(A107="","",SUMIFS('Credit Sales Tracker'!$H:$H,'Credit Sales Tracker'!$I:$I,A107))</f>
        <v/>
      </c>
      <c r="E107" s="51">
        <f>IF(A107="","",SUMIFS('Daily Expenses Log'!$E:$E,'Daily Expenses Log'!$A:$A,A107))</f>
        <v/>
      </c>
      <c r="F107" s="51">
        <f>IF(A107="","",SUMIFS('Creditors Tracker'!$F:$F,'Creditors Tracker'!$G:$G,A107))</f>
        <v/>
      </c>
      <c r="G107" s="51">
        <f>IF(A107="","",B107+C107+D107-E107-F107)</f>
        <v/>
      </c>
      <c r="H107" s="51">
        <f>IF(A107="","",SUM('Stock Master'!$J$2:$J$49))</f>
        <v/>
      </c>
      <c r="I107" s="51">
        <f>IF(A107="","",SUM('Credit Sales Tracker'!$J$2:$J$501))</f>
        <v/>
      </c>
      <c r="J107" s="51">
        <f>IF(A107="","",SUM('Creditors Tracker'!$H$2:$H$501))</f>
        <v/>
      </c>
      <c r="K107" s="49" t="n"/>
    </row>
    <row r="108">
      <c r="A108" s="52" t="n"/>
      <c r="B108" s="51">
        <f>IF(A108="","",G107)</f>
        <v/>
      </c>
      <c r="C108" s="51">
        <f>IF(A108="","",SUMIFS('Daily Sales Log'!$J:$J,'Daily Sales Log'!$A:$A,A108))</f>
        <v/>
      </c>
      <c r="D108" s="51">
        <f>IF(A108="","",SUMIFS('Credit Sales Tracker'!$H:$H,'Credit Sales Tracker'!$I:$I,A108))</f>
        <v/>
      </c>
      <c r="E108" s="51">
        <f>IF(A108="","",SUMIFS('Daily Expenses Log'!$E:$E,'Daily Expenses Log'!$A:$A,A108))</f>
        <v/>
      </c>
      <c r="F108" s="51">
        <f>IF(A108="","",SUMIFS('Creditors Tracker'!$F:$F,'Creditors Tracker'!$G:$G,A108))</f>
        <v/>
      </c>
      <c r="G108" s="51">
        <f>IF(A108="","",B108+C108+D108-E108-F108)</f>
        <v/>
      </c>
      <c r="H108" s="51">
        <f>IF(A108="","",SUM('Stock Master'!$J$2:$J$49))</f>
        <v/>
      </c>
      <c r="I108" s="51">
        <f>IF(A108="","",SUM('Credit Sales Tracker'!$J$2:$J$501))</f>
        <v/>
      </c>
      <c r="J108" s="51">
        <f>IF(A108="","",SUM('Creditors Tracker'!$H$2:$H$501))</f>
        <v/>
      </c>
      <c r="K108" s="49" t="n"/>
    </row>
    <row r="109">
      <c r="A109" s="52" t="n"/>
      <c r="B109" s="51">
        <f>IF(A109="","",G108)</f>
        <v/>
      </c>
      <c r="C109" s="51">
        <f>IF(A109="","",SUMIFS('Daily Sales Log'!$J:$J,'Daily Sales Log'!$A:$A,A109))</f>
        <v/>
      </c>
      <c r="D109" s="51">
        <f>IF(A109="","",SUMIFS('Credit Sales Tracker'!$H:$H,'Credit Sales Tracker'!$I:$I,A109))</f>
        <v/>
      </c>
      <c r="E109" s="51">
        <f>IF(A109="","",SUMIFS('Daily Expenses Log'!$E:$E,'Daily Expenses Log'!$A:$A,A109))</f>
        <v/>
      </c>
      <c r="F109" s="51">
        <f>IF(A109="","",SUMIFS('Creditors Tracker'!$F:$F,'Creditors Tracker'!$G:$G,A109))</f>
        <v/>
      </c>
      <c r="G109" s="51">
        <f>IF(A109="","",B109+C109+D109-E109-F109)</f>
        <v/>
      </c>
      <c r="H109" s="51">
        <f>IF(A109="","",SUM('Stock Master'!$J$2:$J$49))</f>
        <v/>
      </c>
      <c r="I109" s="51">
        <f>IF(A109="","",SUM('Credit Sales Tracker'!$J$2:$J$501))</f>
        <v/>
      </c>
      <c r="J109" s="51">
        <f>IF(A109="","",SUM('Creditors Tracker'!$H$2:$H$501))</f>
        <v/>
      </c>
      <c r="K109" s="49" t="n"/>
    </row>
    <row r="110">
      <c r="A110" s="52" t="n"/>
      <c r="B110" s="51">
        <f>IF(A110="","",G109)</f>
        <v/>
      </c>
      <c r="C110" s="51">
        <f>IF(A110="","",SUMIFS('Daily Sales Log'!$J:$J,'Daily Sales Log'!$A:$A,A110))</f>
        <v/>
      </c>
      <c r="D110" s="51">
        <f>IF(A110="","",SUMIFS('Credit Sales Tracker'!$H:$H,'Credit Sales Tracker'!$I:$I,A110))</f>
        <v/>
      </c>
      <c r="E110" s="51">
        <f>IF(A110="","",SUMIFS('Daily Expenses Log'!$E:$E,'Daily Expenses Log'!$A:$A,A110))</f>
        <v/>
      </c>
      <c r="F110" s="51">
        <f>IF(A110="","",SUMIFS('Creditors Tracker'!$F:$F,'Creditors Tracker'!$G:$G,A110))</f>
        <v/>
      </c>
      <c r="G110" s="51">
        <f>IF(A110="","",B110+C110+D110-E110-F110)</f>
        <v/>
      </c>
      <c r="H110" s="51">
        <f>IF(A110="","",SUM('Stock Master'!$J$2:$J$49))</f>
        <v/>
      </c>
      <c r="I110" s="51">
        <f>IF(A110="","",SUM('Credit Sales Tracker'!$J$2:$J$501))</f>
        <v/>
      </c>
      <c r="J110" s="51">
        <f>IF(A110="","",SUM('Creditors Tracker'!$H$2:$H$501))</f>
        <v/>
      </c>
      <c r="K110" s="49" t="n"/>
    </row>
    <row r="111">
      <c r="A111" s="52" t="n"/>
      <c r="B111" s="51">
        <f>IF(A111="","",G110)</f>
        <v/>
      </c>
      <c r="C111" s="51">
        <f>IF(A111="","",SUMIFS('Daily Sales Log'!$J:$J,'Daily Sales Log'!$A:$A,A111))</f>
        <v/>
      </c>
      <c r="D111" s="51">
        <f>IF(A111="","",SUMIFS('Credit Sales Tracker'!$H:$H,'Credit Sales Tracker'!$I:$I,A111))</f>
        <v/>
      </c>
      <c r="E111" s="51">
        <f>IF(A111="","",SUMIFS('Daily Expenses Log'!$E:$E,'Daily Expenses Log'!$A:$A,A111))</f>
        <v/>
      </c>
      <c r="F111" s="51">
        <f>IF(A111="","",SUMIFS('Creditors Tracker'!$F:$F,'Creditors Tracker'!$G:$G,A111))</f>
        <v/>
      </c>
      <c r="G111" s="51">
        <f>IF(A111="","",B111+C111+D111-E111-F111)</f>
        <v/>
      </c>
      <c r="H111" s="51">
        <f>IF(A111="","",SUM('Stock Master'!$J$2:$J$49))</f>
        <v/>
      </c>
      <c r="I111" s="51">
        <f>IF(A111="","",SUM('Credit Sales Tracker'!$J$2:$J$501))</f>
        <v/>
      </c>
      <c r="J111" s="51">
        <f>IF(A111="","",SUM('Creditors Tracker'!$H$2:$H$501))</f>
        <v/>
      </c>
      <c r="K111" s="49" t="n"/>
    </row>
    <row r="112">
      <c r="A112" s="52" t="n"/>
      <c r="B112" s="51">
        <f>IF(A112="","",G111)</f>
        <v/>
      </c>
      <c r="C112" s="51">
        <f>IF(A112="","",SUMIFS('Daily Sales Log'!$J:$J,'Daily Sales Log'!$A:$A,A112))</f>
        <v/>
      </c>
      <c r="D112" s="51">
        <f>IF(A112="","",SUMIFS('Credit Sales Tracker'!$H:$H,'Credit Sales Tracker'!$I:$I,A112))</f>
        <v/>
      </c>
      <c r="E112" s="51">
        <f>IF(A112="","",SUMIFS('Daily Expenses Log'!$E:$E,'Daily Expenses Log'!$A:$A,A112))</f>
        <v/>
      </c>
      <c r="F112" s="51">
        <f>IF(A112="","",SUMIFS('Creditors Tracker'!$F:$F,'Creditors Tracker'!$G:$G,A112))</f>
        <v/>
      </c>
      <c r="G112" s="51">
        <f>IF(A112="","",B112+C112+D112-E112-F112)</f>
        <v/>
      </c>
      <c r="H112" s="51">
        <f>IF(A112="","",SUM('Stock Master'!$J$2:$J$49))</f>
        <v/>
      </c>
      <c r="I112" s="51">
        <f>IF(A112="","",SUM('Credit Sales Tracker'!$J$2:$J$501))</f>
        <v/>
      </c>
      <c r="J112" s="51">
        <f>IF(A112="","",SUM('Creditors Tracker'!$H$2:$H$501))</f>
        <v/>
      </c>
      <c r="K112" s="49" t="n"/>
    </row>
    <row r="113">
      <c r="A113" s="52" t="n"/>
      <c r="B113" s="51">
        <f>IF(A113="","",G112)</f>
        <v/>
      </c>
      <c r="C113" s="51">
        <f>IF(A113="","",SUMIFS('Daily Sales Log'!$J:$J,'Daily Sales Log'!$A:$A,A113))</f>
        <v/>
      </c>
      <c r="D113" s="51">
        <f>IF(A113="","",SUMIFS('Credit Sales Tracker'!$H:$H,'Credit Sales Tracker'!$I:$I,A113))</f>
        <v/>
      </c>
      <c r="E113" s="51">
        <f>IF(A113="","",SUMIFS('Daily Expenses Log'!$E:$E,'Daily Expenses Log'!$A:$A,A113))</f>
        <v/>
      </c>
      <c r="F113" s="51">
        <f>IF(A113="","",SUMIFS('Creditors Tracker'!$F:$F,'Creditors Tracker'!$G:$G,A113))</f>
        <v/>
      </c>
      <c r="G113" s="51">
        <f>IF(A113="","",B113+C113+D113-E113-F113)</f>
        <v/>
      </c>
      <c r="H113" s="51">
        <f>IF(A113="","",SUM('Stock Master'!$J$2:$J$49))</f>
        <v/>
      </c>
      <c r="I113" s="51">
        <f>IF(A113="","",SUM('Credit Sales Tracker'!$J$2:$J$501))</f>
        <v/>
      </c>
      <c r="J113" s="51">
        <f>IF(A113="","",SUM('Creditors Tracker'!$H$2:$H$501))</f>
        <v/>
      </c>
      <c r="K113" s="49" t="n"/>
    </row>
    <row r="114">
      <c r="A114" s="52" t="n"/>
      <c r="B114" s="51">
        <f>IF(A114="","",G113)</f>
        <v/>
      </c>
      <c r="C114" s="51">
        <f>IF(A114="","",SUMIFS('Daily Sales Log'!$J:$J,'Daily Sales Log'!$A:$A,A114))</f>
        <v/>
      </c>
      <c r="D114" s="51">
        <f>IF(A114="","",SUMIFS('Credit Sales Tracker'!$H:$H,'Credit Sales Tracker'!$I:$I,A114))</f>
        <v/>
      </c>
      <c r="E114" s="51">
        <f>IF(A114="","",SUMIFS('Daily Expenses Log'!$E:$E,'Daily Expenses Log'!$A:$A,A114))</f>
        <v/>
      </c>
      <c r="F114" s="51">
        <f>IF(A114="","",SUMIFS('Creditors Tracker'!$F:$F,'Creditors Tracker'!$G:$G,A114))</f>
        <v/>
      </c>
      <c r="G114" s="51">
        <f>IF(A114="","",B114+C114+D114-E114-F114)</f>
        <v/>
      </c>
      <c r="H114" s="51">
        <f>IF(A114="","",SUM('Stock Master'!$J$2:$J$49))</f>
        <v/>
      </c>
      <c r="I114" s="51">
        <f>IF(A114="","",SUM('Credit Sales Tracker'!$J$2:$J$501))</f>
        <v/>
      </c>
      <c r="J114" s="51">
        <f>IF(A114="","",SUM('Creditors Tracker'!$H$2:$H$501))</f>
        <v/>
      </c>
      <c r="K114" s="49" t="n"/>
    </row>
    <row r="115">
      <c r="A115" s="52" t="n"/>
      <c r="B115" s="51">
        <f>IF(A115="","",G114)</f>
        <v/>
      </c>
      <c r="C115" s="51">
        <f>IF(A115="","",SUMIFS('Daily Sales Log'!$J:$J,'Daily Sales Log'!$A:$A,A115))</f>
        <v/>
      </c>
      <c r="D115" s="51">
        <f>IF(A115="","",SUMIFS('Credit Sales Tracker'!$H:$H,'Credit Sales Tracker'!$I:$I,A115))</f>
        <v/>
      </c>
      <c r="E115" s="51">
        <f>IF(A115="","",SUMIFS('Daily Expenses Log'!$E:$E,'Daily Expenses Log'!$A:$A,A115))</f>
        <v/>
      </c>
      <c r="F115" s="51">
        <f>IF(A115="","",SUMIFS('Creditors Tracker'!$F:$F,'Creditors Tracker'!$G:$G,A115))</f>
        <v/>
      </c>
      <c r="G115" s="51">
        <f>IF(A115="","",B115+C115+D115-E115-F115)</f>
        <v/>
      </c>
      <c r="H115" s="51">
        <f>IF(A115="","",SUM('Stock Master'!$J$2:$J$49))</f>
        <v/>
      </c>
      <c r="I115" s="51">
        <f>IF(A115="","",SUM('Credit Sales Tracker'!$J$2:$J$501))</f>
        <v/>
      </c>
      <c r="J115" s="51">
        <f>IF(A115="","",SUM('Creditors Tracker'!$H$2:$H$501))</f>
        <v/>
      </c>
      <c r="K115" s="49" t="n"/>
    </row>
    <row r="116">
      <c r="A116" s="52" t="n"/>
      <c r="B116" s="51">
        <f>IF(A116="","",G115)</f>
        <v/>
      </c>
      <c r="C116" s="51">
        <f>IF(A116="","",SUMIFS('Daily Sales Log'!$J:$J,'Daily Sales Log'!$A:$A,A116))</f>
        <v/>
      </c>
      <c r="D116" s="51">
        <f>IF(A116="","",SUMIFS('Credit Sales Tracker'!$H:$H,'Credit Sales Tracker'!$I:$I,A116))</f>
        <v/>
      </c>
      <c r="E116" s="51">
        <f>IF(A116="","",SUMIFS('Daily Expenses Log'!$E:$E,'Daily Expenses Log'!$A:$A,A116))</f>
        <v/>
      </c>
      <c r="F116" s="51">
        <f>IF(A116="","",SUMIFS('Creditors Tracker'!$F:$F,'Creditors Tracker'!$G:$G,A116))</f>
        <v/>
      </c>
      <c r="G116" s="51">
        <f>IF(A116="","",B116+C116+D116-E116-F116)</f>
        <v/>
      </c>
      <c r="H116" s="51">
        <f>IF(A116="","",SUM('Stock Master'!$J$2:$J$49))</f>
        <v/>
      </c>
      <c r="I116" s="51">
        <f>IF(A116="","",SUM('Credit Sales Tracker'!$J$2:$J$501))</f>
        <v/>
      </c>
      <c r="J116" s="51">
        <f>IF(A116="","",SUM('Creditors Tracker'!$H$2:$H$501))</f>
        <v/>
      </c>
      <c r="K116" s="49" t="n"/>
    </row>
    <row r="117">
      <c r="A117" s="52" t="n"/>
      <c r="B117" s="51">
        <f>IF(A117="","",G116)</f>
        <v/>
      </c>
      <c r="C117" s="51">
        <f>IF(A117="","",SUMIFS('Daily Sales Log'!$J:$J,'Daily Sales Log'!$A:$A,A117))</f>
        <v/>
      </c>
      <c r="D117" s="51">
        <f>IF(A117="","",SUMIFS('Credit Sales Tracker'!$H:$H,'Credit Sales Tracker'!$I:$I,A117))</f>
        <v/>
      </c>
      <c r="E117" s="51">
        <f>IF(A117="","",SUMIFS('Daily Expenses Log'!$E:$E,'Daily Expenses Log'!$A:$A,A117))</f>
        <v/>
      </c>
      <c r="F117" s="51">
        <f>IF(A117="","",SUMIFS('Creditors Tracker'!$F:$F,'Creditors Tracker'!$G:$G,A117))</f>
        <v/>
      </c>
      <c r="G117" s="51">
        <f>IF(A117="","",B117+C117+D117-E117-F117)</f>
        <v/>
      </c>
      <c r="H117" s="51">
        <f>IF(A117="","",SUM('Stock Master'!$J$2:$J$49))</f>
        <v/>
      </c>
      <c r="I117" s="51">
        <f>IF(A117="","",SUM('Credit Sales Tracker'!$J$2:$J$501))</f>
        <v/>
      </c>
      <c r="J117" s="51">
        <f>IF(A117="","",SUM('Creditors Tracker'!$H$2:$H$501))</f>
        <v/>
      </c>
      <c r="K117" s="49" t="n"/>
    </row>
    <row r="118">
      <c r="A118" s="52" t="n"/>
      <c r="B118" s="51">
        <f>IF(A118="","",G117)</f>
        <v/>
      </c>
      <c r="C118" s="51">
        <f>IF(A118="","",SUMIFS('Daily Sales Log'!$J:$J,'Daily Sales Log'!$A:$A,A118))</f>
        <v/>
      </c>
      <c r="D118" s="51">
        <f>IF(A118="","",SUMIFS('Credit Sales Tracker'!$H:$H,'Credit Sales Tracker'!$I:$I,A118))</f>
        <v/>
      </c>
      <c r="E118" s="51">
        <f>IF(A118="","",SUMIFS('Daily Expenses Log'!$E:$E,'Daily Expenses Log'!$A:$A,A118))</f>
        <v/>
      </c>
      <c r="F118" s="51">
        <f>IF(A118="","",SUMIFS('Creditors Tracker'!$F:$F,'Creditors Tracker'!$G:$G,A118))</f>
        <v/>
      </c>
      <c r="G118" s="51">
        <f>IF(A118="","",B118+C118+D118-E118-F118)</f>
        <v/>
      </c>
      <c r="H118" s="51">
        <f>IF(A118="","",SUM('Stock Master'!$J$2:$J$49))</f>
        <v/>
      </c>
      <c r="I118" s="51">
        <f>IF(A118="","",SUM('Credit Sales Tracker'!$J$2:$J$501))</f>
        <v/>
      </c>
      <c r="J118" s="51">
        <f>IF(A118="","",SUM('Creditors Tracker'!$H$2:$H$501))</f>
        <v/>
      </c>
      <c r="K118" s="49" t="n"/>
    </row>
    <row r="119">
      <c r="A119" s="52" t="n"/>
      <c r="B119" s="51">
        <f>IF(A119="","",G118)</f>
        <v/>
      </c>
      <c r="C119" s="51">
        <f>IF(A119="","",SUMIFS('Daily Sales Log'!$J:$J,'Daily Sales Log'!$A:$A,A119))</f>
        <v/>
      </c>
      <c r="D119" s="51">
        <f>IF(A119="","",SUMIFS('Credit Sales Tracker'!$H:$H,'Credit Sales Tracker'!$I:$I,A119))</f>
        <v/>
      </c>
      <c r="E119" s="51">
        <f>IF(A119="","",SUMIFS('Daily Expenses Log'!$E:$E,'Daily Expenses Log'!$A:$A,A119))</f>
        <v/>
      </c>
      <c r="F119" s="51">
        <f>IF(A119="","",SUMIFS('Creditors Tracker'!$F:$F,'Creditors Tracker'!$G:$G,A119))</f>
        <v/>
      </c>
      <c r="G119" s="51">
        <f>IF(A119="","",B119+C119+D119-E119-F119)</f>
        <v/>
      </c>
      <c r="H119" s="51">
        <f>IF(A119="","",SUM('Stock Master'!$J$2:$J$49))</f>
        <v/>
      </c>
      <c r="I119" s="51">
        <f>IF(A119="","",SUM('Credit Sales Tracker'!$J$2:$J$501))</f>
        <v/>
      </c>
      <c r="J119" s="51">
        <f>IF(A119="","",SUM('Creditors Tracker'!$H$2:$H$501))</f>
        <v/>
      </c>
      <c r="K119" s="49" t="n"/>
    </row>
    <row r="120">
      <c r="A120" s="52" t="n"/>
      <c r="B120" s="51">
        <f>IF(A120="","",G119)</f>
        <v/>
      </c>
      <c r="C120" s="51">
        <f>IF(A120="","",SUMIFS('Daily Sales Log'!$J:$J,'Daily Sales Log'!$A:$A,A120))</f>
        <v/>
      </c>
      <c r="D120" s="51">
        <f>IF(A120="","",SUMIFS('Credit Sales Tracker'!$H:$H,'Credit Sales Tracker'!$I:$I,A120))</f>
        <v/>
      </c>
      <c r="E120" s="51">
        <f>IF(A120="","",SUMIFS('Daily Expenses Log'!$E:$E,'Daily Expenses Log'!$A:$A,A120))</f>
        <v/>
      </c>
      <c r="F120" s="51">
        <f>IF(A120="","",SUMIFS('Creditors Tracker'!$F:$F,'Creditors Tracker'!$G:$G,A120))</f>
        <v/>
      </c>
      <c r="G120" s="51">
        <f>IF(A120="","",B120+C120+D120-E120-F120)</f>
        <v/>
      </c>
      <c r="H120" s="51">
        <f>IF(A120="","",SUM('Stock Master'!$J$2:$J$49))</f>
        <v/>
      </c>
      <c r="I120" s="51">
        <f>IF(A120="","",SUM('Credit Sales Tracker'!$J$2:$J$501))</f>
        <v/>
      </c>
      <c r="J120" s="51">
        <f>IF(A120="","",SUM('Creditors Tracker'!$H$2:$H$501))</f>
        <v/>
      </c>
      <c r="K120" s="49" t="n"/>
    </row>
    <row r="121">
      <c r="A121" s="52" t="n"/>
      <c r="B121" s="51">
        <f>IF(A121="","",G120)</f>
        <v/>
      </c>
      <c r="C121" s="51">
        <f>IF(A121="","",SUMIFS('Daily Sales Log'!$J:$J,'Daily Sales Log'!$A:$A,A121))</f>
        <v/>
      </c>
      <c r="D121" s="51">
        <f>IF(A121="","",SUMIFS('Credit Sales Tracker'!$H:$H,'Credit Sales Tracker'!$I:$I,A121))</f>
        <v/>
      </c>
      <c r="E121" s="51">
        <f>IF(A121="","",SUMIFS('Daily Expenses Log'!$E:$E,'Daily Expenses Log'!$A:$A,A121))</f>
        <v/>
      </c>
      <c r="F121" s="51">
        <f>IF(A121="","",SUMIFS('Creditors Tracker'!$F:$F,'Creditors Tracker'!$G:$G,A121))</f>
        <v/>
      </c>
      <c r="G121" s="51">
        <f>IF(A121="","",B121+C121+D121-E121-F121)</f>
        <v/>
      </c>
      <c r="H121" s="51">
        <f>IF(A121="","",SUM('Stock Master'!$J$2:$J$49))</f>
        <v/>
      </c>
      <c r="I121" s="51">
        <f>IF(A121="","",SUM('Credit Sales Tracker'!$J$2:$J$501))</f>
        <v/>
      </c>
      <c r="J121" s="51">
        <f>IF(A121="","",SUM('Creditors Tracker'!$H$2:$H$501))</f>
        <v/>
      </c>
      <c r="K121" s="49" t="n"/>
    </row>
    <row r="122">
      <c r="A122" s="52" t="n"/>
      <c r="B122" s="51">
        <f>IF(A122="","",G121)</f>
        <v/>
      </c>
      <c r="C122" s="51">
        <f>IF(A122="","",SUMIFS('Daily Sales Log'!$J:$J,'Daily Sales Log'!$A:$A,A122))</f>
        <v/>
      </c>
      <c r="D122" s="51">
        <f>IF(A122="","",SUMIFS('Credit Sales Tracker'!$H:$H,'Credit Sales Tracker'!$I:$I,A122))</f>
        <v/>
      </c>
      <c r="E122" s="51">
        <f>IF(A122="","",SUMIFS('Daily Expenses Log'!$E:$E,'Daily Expenses Log'!$A:$A,A122))</f>
        <v/>
      </c>
      <c r="F122" s="51">
        <f>IF(A122="","",SUMIFS('Creditors Tracker'!$F:$F,'Creditors Tracker'!$G:$G,A122))</f>
        <v/>
      </c>
      <c r="G122" s="51">
        <f>IF(A122="","",B122+C122+D122-E122-F122)</f>
        <v/>
      </c>
      <c r="H122" s="51">
        <f>IF(A122="","",SUM('Stock Master'!$J$2:$J$49))</f>
        <v/>
      </c>
      <c r="I122" s="51">
        <f>IF(A122="","",SUM('Credit Sales Tracker'!$J$2:$J$501))</f>
        <v/>
      </c>
      <c r="J122" s="51">
        <f>IF(A122="","",SUM('Creditors Tracker'!$H$2:$H$501))</f>
        <v/>
      </c>
      <c r="K122" s="49" t="n"/>
    </row>
    <row r="123">
      <c r="A123" s="52" t="n"/>
      <c r="B123" s="51">
        <f>IF(A123="","",G122)</f>
        <v/>
      </c>
      <c r="C123" s="51">
        <f>IF(A123="","",SUMIFS('Daily Sales Log'!$J:$J,'Daily Sales Log'!$A:$A,A123))</f>
        <v/>
      </c>
      <c r="D123" s="51">
        <f>IF(A123="","",SUMIFS('Credit Sales Tracker'!$H:$H,'Credit Sales Tracker'!$I:$I,A123))</f>
        <v/>
      </c>
      <c r="E123" s="51">
        <f>IF(A123="","",SUMIFS('Daily Expenses Log'!$E:$E,'Daily Expenses Log'!$A:$A,A123))</f>
        <v/>
      </c>
      <c r="F123" s="51">
        <f>IF(A123="","",SUMIFS('Creditors Tracker'!$F:$F,'Creditors Tracker'!$G:$G,A123))</f>
        <v/>
      </c>
      <c r="G123" s="51">
        <f>IF(A123="","",B123+C123+D123-E123-F123)</f>
        <v/>
      </c>
      <c r="H123" s="51">
        <f>IF(A123="","",SUM('Stock Master'!$J$2:$J$49))</f>
        <v/>
      </c>
      <c r="I123" s="51">
        <f>IF(A123="","",SUM('Credit Sales Tracker'!$J$2:$J$501))</f>
        <v/>
      </c>
      <c r="J123" s="51">
        <f>IF(A123="","",SUM('Creditors Tracker'!$H$2:$H$501))</f>
        <v/>
      </c>
      <c r="K123" s="49" t="n"/>
    </row>
    <row r="124">
      <c r="A124" s="52" t="n"/>
      <c r="B124" s="51">
        <f>IF(A124="","",G123)</f>
        <v/>
      </c>
      <c r="C124" s="51">
        <f>IF(A124="","",SUMIFS('Daily Sales Log'!$J:$J,'Daily Sales Log'!$A:$A,A124))</f>
        <v/>
      </c>
      <c r="D124" s="51">
        <f>IF(A124="","",SUMIFS('Credit Sales Tracker'!$H:$H,'Credit Sales Tracker'!$I:$I,A124))</f>
        <v/>
      </c>
      <c r="E124" s="51">
        <f>IF(A124="","",SUMIFS('Daily Expenses Log'!$E:$E,'Daily Expenses Log'!$A:$A,A124))</f>
        <v/>
      </c>
      <c r="F124" s="51">
        <f>IF(A124="","",SUMIFS('Creditors Tracker'!$F:$F,'Creditors Tracker'!$G:$G,A124))</f>
        <v/>
      </c>
      <c r="G124" s="51">
        <f>IF(A124="","",B124+C124+D124-E124-F124)</f>
        <v/>
      </c>
      <c r="H124" s="51">
        <f>IF(A124="","",SUM('Stock Master'!$J$2:$J$49))</f>
        <v/>
      </c>
      <c r="I124" s="51">
        <f>IF(A124="","",SUM('Credit Sales Tracker'!$J$2:$J$501))</f>
        <v/>
      </c>
      <c r="J124" s="51">
        <f>IF(A124="","",SUM('Creditors Tracker'!$H$2:$H$501))</f>
        <v/>
      </c>
      <c r="K124" s="49" t="n"/>
    </row>
    <row r="125">
      <c r="A125" s="52" t="n"/>
      <c r="B125" s="51">
        <f>IF(A125="","",G124)</f>
        <v/>
      </c>
      <c r="C125" s="51">
        <f>IF(A125="","",SUMIFS('Daily Sales Log'!$J:$J,'Daily Sales Log'!$A:$A,A125))</f>
        <v/>
      </c>
      <c r="D125" s="51">
        <f>IF(A125="","",SUMIFS('Credit Sales Tracker'!$H:$H,'Credit Sales Tracker'!$I:$I,A125))</f>
        <v/>
      </c>
      <c r="E125" s="51">
        <f>IF(A125="","",SUMIFS('Daily Expenses Log'!$E:$E,'Daily Expenses Log'!$A:$A,A125))</f>
        <v/>
      </c>
      <c r="F125" s="51">
        <f>IF(A125="","",SUMIFS('Creditors Tracker'!$F:$F,'Creditors Tracker'!$G:$G,A125))</f>
        <v/>
      </c>
      <c r="G125" s="51">
        <f>IF(A125="","",B125+C125+D125-E125-F125)</f>
        <v/>
      </c>
      <c r="H125" s="51">
        <f>IF(A125="","",SUM('Stock Master'!$J$2:$J$49))</f>
        <v/>
      </c>
      <c r="I125" s="51">
        <f>IF(A125="","",SUM('Credit Sales Tracker'!$J$2:$J$501))</f>
        <v/>
      </c>
      <c r="J125" s="51">
        <f>IF(A125="","",SUM('Creditors Tracker'!$H$2:$H$501))</f>
        <v/>
      </c>
      <c r="K125" s="49" t="n"/>
    </row>
    <row r="126">
      <c r="A126" s="52" t="n"/>
      <c r="B126" s="51">
        <f>IF(A126="","",G125)</f>
        <v/>
      </c>
      <c r="C126" s="51">
        <f>IF(A126="","",SUMIFS('Daily Sales Log'!$J:$J,'Daily Sales Log'!$A:$A,A126))</f>
        <v/>
      </c>
      <c r="D126" s="51">
        <f>IF(A126="","",SUMIFS('Credit Sales Tracker'!$H:$H,'Credit Sales Tracker'!$I:$I,A126))</f>
        <v/>
      </c>
      <c r="E126" s="51">
        <f>IF(A126="","",SUMIFS('Daily Expenses Log'!$E:$E,'Daily Expenses Log'!$A:$A,A126))</f>
        <v/>
      </c>
      <c r="F126" s="51">
        <f>IF(A126="","",SUMIFS('Creditors Tracker'!$F:$F,'Creditors Tracker'!$G:$G,A126))</f>
        <v/>
      </c>
      <c r="G126" s="51">
        <f>IF(A126="","",B126+C126+D126-E126-F126)</f>
        <v/>
      </c>
      <c r="H126" s="51">
        <f>IF(A126="","",SUM('Stock Master'!$J$2:$J$49))</f>
        <v/>
      </c>
      <c r="I126" s="51">
        <f>IF(A126="","",SUM('Credit Sales Tracker'!$J$2:$J$501))</f>
        <v/>
      </c>
      <c r="J126" s="51">
        <f>IF(A126="","",SUM('Creditors Tracker'!$H$2:$H$501))</f>
        <v/>
      </c>
      <c r="K126" s="49" t="n"/>
    </row>
    <row r="127">
      <c r="A127" s="52" t="n"/>
      <c r="B127" s="51">
        <f>IF(A127="","",G126)</f>
        <v/>
      </c>
      <c r="C127" s="51">
        <f>IF(A127="","",SUMIFS('Daily Sales Log'!$J:$J,'Daily Sales Log'!$A:$A,A127))</f>
        <v/>
      </c>
      <c r="D127" s="51">
        <f>IF(A127="","",SUMIFS('Credit Sales Tracker'!$H:$H,'Credit Sales Tracker'!$I:$I,A127))</f>
        <v/>
      </c>
      <c r="E127" s="51">
        <f>IF(A127="","",SUMIFS('Daily Expenses Log'!$E:$E,'Daily Expenses Log'!$A:$A,A127))</f>
        <v/>
      </c>
      <c r="F127" s="51">
        <f>IF(A127="","",SUMIFS('Creditors Tracker'!$F:$F,'Creditors Tracker'!$G:$G,A127))</f>
        <v/>
      </c>
      <c r="G127" s="51">
        <f>IF(A127="","",B127+C127+D127-E127-F127)</f>
        <v/>
      </c>
      <c r="H127" s="51">
        <f>IF(A127="","",SUM('Stock Master'!$J$2:$J$49))</f>
        <v/>
      </c>
      <c r="I127" s="51">
        <f>IF(A127="","",SUM('Credit Sales Tracker'!$J$2:$J$501))</f>
        <v/>
      </c>
      <c r="J127" s="51">
        <f>IF(A127="","",SUM('Creditors Tracker'!$H$2:$H$501))</f>
        <v/>
      </c>
      <c r="K127" s="49" t="n"/>
    </row>
    <row r="128">
      <c r="A128" s="52" t="n"/>
      <c r="B128" s="51">
        <f>IF(A128="","",G127)</f>
        <v/>
      </c>
      <c r="C128" s="51">
        <f>IF(A128="","",SUMIFS('Daily Sales Log'!$J:$J,'Daily Sales Log'!$A:$A,A128))</f>
        <v/>
      </c>
      <c r="D128" s="51">
        <f>IF(A128="","",SUMIFS('Credit Sales Tracker'!$H:$H,'Credit Sales Tracker'!$I:$I,A128))</f>
        <v/>
      </c>
      <c r="E128" s="51">
        <f>IF(A128="","",SUMIFS('Daily Expenses Log'!$E:$E,'Daily Expenses Log'!$A:$A,A128))</f>
        <v/>
      </c>
      <c r="F128" s="51">
        <f>IF(A128="","",SUMIFS('Creditors Tracker'!$F:$F,'Creditors Tracker'!$G:$G,A128))</f>
        <v/>
      </c>
      <c r="G128" s="51">
        <f>IF(A128="","",B128+C128+D128-E128-F128)</f>
        <v/>
      </c>
      <c r="H128" s="51">
        <f>IF(A128="","",SUM('Stock Master'!$J$2:$J$49))</f>
        <v/>
      </c>
      <c r="I128" s="51">
        <f>IF(A128="","",SUM('Credit Sales Tracker'!$J$2:$J$501))</f>
        <v/>
      </c>
      <c r="J128" s="51">
        <f>IF(A128="","",SUM('Creditors Tracker'!$H$2:$H$501))</f>
        <v/>
      </c>
      <c r="K128" s="49" t="n"/>
    </row>
    <row r="129">
      <c r="A129" s="52" t="n"/>
      <c r="B129" s="51">
        <f>IF(A129="","",G128)</f>
        <v/>
      </c>
      <c r="C129" s="51">
        <f>IF(A129="","",SUMIFS('Daily Sales Log'!$J:$J,'Daily Sales Log'!$A:$A,A129))</f>
        <v/>
      </c>
      <c r="D129" s="51">
        <f>IF(A129="","",SUMIFS('Credit Sales Tracker'!$H:$H,'Credit Sales Tracker'!$I:$I,A129))</f>
        <v/>
      </c>
      <c r="E129" s="51">
        <f>IF(A129="","",SUMIFS('Daily Expenses Log'!$E:$E,'Daily Expenses Log'!$A:$A,A129))</f>
        <v/>
      </c>
      <c r="F129" s="51">
        <f>IF(A129="","",SUMIFS('Creditors Tracker'!$F:$F,'Creditors Tracker'!$G:$G,A129))</f>
        <v/>
      </c>
      <c r="G129" s="51">
        <f>IF(A129="","",B129+C129+D129-E129-F129)</f>
        <v/>
      </c>
      <c r="H129" s="51">
        <f>IF(A129="","",SUM('Stock Master'!$J$2:$J$49))</f>
        <v/>
      </c>
      <c r="I129" s="51">
        <f>IF(A129="","",SUM('Credit Sales Tracker'!$J$2:$J$501))</f>
        <v/>
      </c>
      <c r="J129" s="51">
        <f>IF(A129="","",SUM('Creditors Tracker'!$H$2:$H$501))</f>
        <v/>
      </c>
      <c r="K129" s="49" t="n"/>
    </row>
    <row r="130">
      <c r="A130" s="52" t="n"/>
      <c r="B130" s="51">
        <f>IF(A130="","",G129)</f>
        <v/>
      </c>
      <c r="C130" s="51">
        <f>IF(A130="","",SUMIFS('Daily Sales Log'!$J:$J,'Daily Sales Log'!$A:$A,A130))</f>
        <v/>
      </c>
      <c r="D130" s="51">
        <f>IF(A130="","",SUMIFS('Credit Sales Tracker'!$H:$H,'Credit Sales Tracker'!$I:$I,A130))</f>
        <v/>
      </c>
      <c r="E130" s="51">
        <f>IF(A130="","",SUMIFS('Daily Expenses Log'!$E:$E,'Daily Expenses Log'!$A:$A,A130))</f>
        <v/>
      </c>
      <c r="F130" s="51">
        <f>IF(A130="","",SUMIFS('Creditors Tracker'!$F:$F,'Creditors Tracker'!$G:$G,A130))</f>
        <v/>
      </c>
      <c r="G130" s="51">
        <f>IF(A130="","",B130+C130+D130-E130-F130)</f>
        <v/>
      </c>
      <c r="H130" s="51">
        <f>IF(A130="","",SUM('Stock Master'!$J$2:$J$49))</f>
        <v/>
      </c>
      <c r="I130" s="51">
        <f>IF(A130="","",SUM('Credit Sales Tracker'!$J$2:$J$501))</f>
        <v/>
      </c>
      <c r="J130" s="51">
        <f>IF(A130="","",SUM('Creditors Tracker'!$H$2:$H$501))</f>
        <v/>
      </c>
      <c r="K130" s="49" t="n"/>
    </row>
    <row r="131">
      <c r="A131" s="52" t="n"/>
      <c r="B131" s="51">
        <f>IF(A131="","",G130)</f>
        <v/>
      </c>
      <c r="C131" s="51">
        <f>IF(A131="","",SUMIFS('Daily Sales Log'!$J:$J,'Daily Sales Log'!$A:$A,A131))</f>
        <v/>
      </c>
      <c r="D131" s="51">
        <f>IF(A131="","",SUMIFS('Credit Sales Tracker'!$H:$H,'Credit Sales Tracker'!$I:$I,A131))</f>
        <v/>
      </c>
      <c r="E131" s="51">
        <f>IF(A131="","",SUMIFS('Daily Expenses Log'!$E:$E,'Daily Expenses Log'!$A:$A,A131))</f>
        <v/>
      </c>
      <c r="F131" s="51">
        <f>IF(A131="","",SUMIFS('Creditors Tracker'!$F:$F,'Creditors Tracker'!$G:$G,A131))</f>
        <v/>
      </c>
      <c r="G131" s="51">
        <f>IF(A131="","",B131+C131+D131-E131-F131)</f>
        <v/>
      </c>
      <c r="H131" s="51">
        <f>IF(A131="","",SUM('Stock Master'!$J$2:$J$49))</f>
        <v/>
      </c>
      <c r="I131" s="51">
        <f>IF(A131="","",SUM('Credit Sales Tracker'!$J$2:$J$501))</f>
        <v/>
      </c>
      <c r="J131" s="51">
        <f>IF(A131="","",SUM('Creditors Tracker'!$H$2:$H$501))</f>
        <v/>
      </c>
      <c r="K131" s="49" t="n"/>
    </row>
    <row r="132">
      <c r="A132" s="52" t="n"/>
      <c r="B132" s="51">
        <f>IF(A132="","",G131)</f>
        <v/>
      </c>
      <c r="C132" s="51">
        <f>IF(A132="","",SUMIFS('Daily Sales Log'!$J:$J,'Daily Sales Log'!$A:$A,A132))</f>
        <v/>
      </c>
      <c r="D132" s="51">
        <f>IF(A132="","",SUMIFS('Credit Sales Tracker'!$H:$H,'Credit Sales Tracker'!$I:$I,A132))</f>
        <v/>
      </c>
      <c r="E132" s="51">
        <f>IF(A132="","",SUMIFS('Daily Expenses Log'!$E:$E,'Daily Expenses Log'!$A:$A,A132))</f>
        <v/>
      </c>
      <c r="F132" s="51">
        <f>IF(A132="","",SUMIFS('Creditors Tracker'!$F:$F,'Creditors Tracker'!$G:$G,A132))</f>
        <v/>
      </c>
      <c r="G132" s="51">
        <f>IF(A132="","",B132+C132+D132-E132-F132)</f>
        <v/>
      </c>
      <c r="H132" s="51">
        <f>IF(A132="","",SUM('Stock Master'!$J$2:$J$49))</f>
        <v/>
      </c>
      <c r="I132" s="51">
        <f>IF(A132="","",SUM('Credit Sales Tracker'!$J$2:$J$501))</f>
        <v/>
      </c>
      <c r="J132" s="51">
        <f>IF(A132="","",SUM('Creditors Tracker'!$H$2:$H$501))</f>
        <v/>
      </c>
      <c r="K132" s="49" t="n"/>
    </row>
    <row r="133">
      <c r="A133" s="52" t="n"/>
      <c r="B133" s="51">
        <f>IF(A133="","",G132)</f>
        <v/>
      </c>
      <c r="C133" s="51">
        <f>IF(A133="","",SUMIFS('Daily Sales Log'!$J:$J,'Daily Sales Log'!$A:$A,A133))</f>
        <v/>
      </c>
      <c r="D133" s="51">
        <f>IF(A133="","",SUMIFS('Credit Sales Tracker'!$H:$H,'Credit Sales Tracker'!$I:$I,A133))</f>
        <v/>
      </c>
      <c r="E133" s="51">
        <f>IF(A133="","",SUMIFS('Daily Expenses Log'!$E:$E,'Daily Expenses Log'!$A:$A,A133))</f>
        <v/>
      </c>
      <c r="F133" s="51">
        <f>IF(A133="","",SUMIFS('Creditors Tracker'!$F:$F,'Creditors Tracker'!$G:$G,A133))</f>
        <v/>
      </c>
      <c r="G133" s="51">
        <f>IF(A133="","",B133+C133+D133-E133-F133)</f>
        <v/>
      </c>
      <c r="H133" s="51">
        <f>IF(A133="","",SUM('Stock Master'!$J$2:$J$49))</f>
        <v/>
      </c>
      <c r="I133" s="51">
        <f>IF(A133="","",SUM('Credit Sales Tracker'!$J$2:$J$501))</f>
        <v/>
      </c>
      <c r="J133" s="51">
        <f>IF(A133="","",SUM('Creditors Tracker'!$H$2:$H$501))</f>
        <v/>
      </c>
      <c r="K133" s="49" t="n"/>
    </row>
    <row r="134">
      <c r="A134" s="52" t="n"/>
      <c r="B134" s="51">
        <f>IF(A134="","",G133)</f>
        <v/>
      </c>
      <c r="C134" s="51">
        <f>IF(A134="","",SUMIFS('Daily Sales Log'!$J:$J,'Daily Sales Log'!$A:$A,A134))</f>
        <v/>
      </c>
      <c r="D134" s="51">
        <f>IF(A134="","",SUMIFS('Credit Sales Tracker'!$H:$H,'Credit Sales Tracker'!$I:$I,A134))</f>
        <v/>
      </c>
      <c r="E134" s="51">
        <f>IF(A134="","",SUMIFS('Daily Expenses Log'!$E:$E,'Daily Expenses Log'!$A:$A,A134))</f>
        <v/>
      </c>
      <c r="F134" s="51">
        <f>IF(A134="","",SUMIFS('Creditors Tracker'!$F:$F,'Creditors Tracker'!$G:$G,A134))</f>
        <v/>
      </c>
      <c r="G134" s="51">
        <f>IF(A134="","",B134+C134+D134-E134-F134)</f>
        <v/>
      </c>
      <c r="H134" s="51">
        <f>IF(A134="","",SUM('Stock Master'!$J$2:$J$49))</f>
        <v/>
      </c>
      <c r="I134" s="51">
        <f>IF(A134="","",SUM('Credit Sales Tracker'!$J$2:$J$501))</f>
        <v/>
      </c>
      <c r="J134" s="51">
        <f>IF(A134="","",SUM('Creditors Tracker'!$H$2:$H$501))</f>
        <v/>
      </c>
      <c r="K134" s="49" t="n"/>
    </row>
    <row r="135">
      <c r="A135" s="52" t="n"/>
      <c r="B135" s="51">
        <f>IF(A135="","",G134)</f>
        <v/>
      </c>
      <c r="C135" s="51">
        <f>IF(A135="","",SUMIFS('Daily Sales Log'!$J:$J,'Daily Sales Log'!$A:$A,A135))</f>
        <v/>
      </c>
      <c r="D135" s="51">
        <f>IF(A135="","",SUMIFS('Credit Sales Tracker'!$H:$H,'Credit Sales Tracker'!$I:$I,A135))</f>
        <v/>
      </c>
      <c r="E135" s="51">
        <f>IF(A135="","",SUMIFS('Daily Expenses Log'!$E:$E,'Daily Expenses Log'!$A:$A,A135))</f>
        <v/>
      </c>
      <c r="F135" s="51">
        <f>IF(A135="","",SUMIFS('Creditors Tracker'!$F:$F,'Creditors Tracker'!$G:$G,A135))</f>
        <v/>
      </c>
      <c r="G135" s="51">
        <f>IF(A135="","",B135+C135+D135-E135-F135)</f>
        <v/>
      </c>
      <c r="H135" s="51">
        <f>IF(A135="","",SUM('Stock Master'!$J$2:$J$49))</f>
        <v/>
      </c>
      <c r="I135" s="51">
        <f>IF(A135="","",SUM('Credit Sales Tracker'!$J$2:$J$501))</f>
        <v/>
      </c>
      <c r="J135" s="51">
        <f>IF(A135="","",SUM('Creditors Tracker'!$H$2:$H$501))</f>
        <v/>
      </c>
      <c r="K135" s="49" t="n"/>
    </row>
    <row r="136">
      <c r="A136" s="52" t="n"/>
      <c r="B136" s="51">
        <f>IF(A136="","",G135)</f>
        <v/>
      </c>
      <c r="C136" s="51">
        <f>IF(A136="","",SUMIFS('Daily Sales Log'!$J:$J,'Daily Sales Log'!$A:$A,A136))</f>
        <v/>
      </c>
      <c r="D136" s="51">
        <f>IF(A136="","",SUMIFS('Credit Sales Tracker'!$H:$H,'Credit Sales Tracker'!$I:$I,A136))</f>
        <v/>
      </c>
      <c r="E136" s="51">
        <f>IF(A136="","",SUMIFS('Daily Expenses Log'!$E:$E,'Daily Expenses Log'!$A:$A,A136))</f>
        <v/>
      </c>
      <c r="F136" s="51">
        <f>IF(A136="","",SUMIFS('Creditors Tracker'!$F:$F,'Creditors Tracker'!$G:$G,A136))</f>
        <v/>
      </c>
      <c r="G136" s="51">
        <f>IF(A136="","",B136+C136+D136-E136-F136)</f>
        <v/>
      </c>
      <c r="H136" s="51">
        <f>IF(A136="","",SUM('Stock Master'!$J$2:$J$49))</f>
        <v/>
      </c>
      <c r="I136" s="51">
        <f>IF(A136="","",SUM('Credit Sales Tracker'!$J$2:$J$501))</f>
        <v/>
      </c>
      <c r="J136" s="51">
        <f>IF(A136="","",SUM('Creditors Tracker'!$H$2:$H$501))</f>
        <v/>
      </c>
      <c r="K136" s="49" t="n"/>
    </row>
    <row r="137">
      <c r="A137" s="52" t="n"/>
      <c r="B137" s="51">
        <f>IF(A137="","",G136)</f>
        <v/>
      </c>
      <c r="C137" s="51">
        <f>IF(A137="","",SUMIFS('Daily Sales Log'!$J:$J,'Daily Sales Log'!$A:$A,A137))</f>
        <v/>
      </c>
      <c r="D137" s="51">
        <f>IF(A137="","",SUMIFS('Credit Sales Tracker'!$H:$H,'Credit Sales Tracker'!$I:$I,A137))</f>
        <v/>
      </c>
      <c r="E137" s="51">
        <f>IF(A137="","",SUMIFS('Daily Expenses Log'!$E:$E,'Daily Expenses Log'!$A:$A,A137))</f>
        <v/>
      </c>
      <c r="F137" s="51">
        <f>IF(A137="","",SUMIFS('Creditors Tracker'!$F:$F,'Creditors Tracker'!$G:$G,A137))</f>
        <v/>
      </c>
      <c r="G137" s="51">
        <f>IF(A137="","",B137+C137+D137-E137-F137)</f>
        <v/>
      </c>
      <c r="H137" s="51">
        <f>IF(A137="","",SUM('Stock Master'!$J$2:$J$49))</f>
        <v/>
      </c>
      <c r="I137" s="51">
        <f>IF(A137="","",SUM('Credit Sales Tracker'!$J$2:$J$501))</f>
        <v/>
      </c>
      <c r="J137" s="51">
        <f>IF(A137="","",SUM('Creditors Tracker'!$H$2:$H$501))</f>
        <v/>
      </c>
      <c r="K137" s="49" t="n"/>
    </row>
    <row r="138">
      <c r="A138" s="52" t="n"/>
      <c r="B138" s="51">
        <f>IF(A138="","",G137)</f>
        <v/>
      </c>
      <c r="C138" s="51">
        <f>IF(A138="","",SUMIFS('Daily Sales Log'!$J:$J,'Daily Sales Log'!$A:$A,A138))</f>
        <v/>
      </c>
      <c r="D138" s="51">
        <f>IF(A138="","",SUMIFS('Credit Sales Tracker'!$H:$H,'Credit Sales Tracker'!$I:$I,A138))</f>
        <v/>
      </c>
      <c r="E138" s="51">
        <f>IF(A138="","",SUMIFS('Daily Expenses Log'!$E:$E,'Daily Expenses Log'!$A:$A,A138))</f>
        <v/>
      </c>
      <c r="F138" s="51">
        <f>IF(A138="","",SUMIFS('Creditors Tracker'!$F:$F,'Creditors Tracker'!$G:$G,A138))</f>
        <v/>
      </c>
      <c r="G138" s="51">
        <f>IF(A138="","",B138+C138+D138-E138-F138)</f>
        <v/>
      </c>
      <c r="H138" s="51">
        <f>IF(A138="","",SUM('Stock Master'!$J$2:$J$49))</f>
        <v/>
      </c>
      <c r="I138" s="51">
        <f>IF(A138="","",SUM('Credit Sales Tracker'!$J$2:$J$501))</f>
        <v/>
      </c>
      <c r="J138" s="51">
        <f>IF(A138="","",SUM('Creditors Tracker'!$H$2:$H$501))</f>
        <v/>
      </c>
      <c r="K138" s="49" t="n"/>
    </row>
    <row r="139">
      <c r="A139" s="52" t="n"/>
      <c r="B139" s="51">
        <f>IF(A139="","",G138)</f>
        <v/>
      </c>
      <c r="C139" s="51">
        <f>IF(A139="","",SUMIFS('Daily Sales Log'!$J:$J,'Daily Sales Log'!$A:$A,A139))</f>
        <v/>
      </c>
      <c r="D139" s="51">
        <f>IF(A139="","",SUMIFS('Credit Sales Tracker'!$H:$H,'Credit Sales Tracker'!$I:$I,A139))</f>
        <v/>
      </c>
      <c r="E139" s="51">
        <f>IF(A139="","",SUMIFS('Daily Expenses Log'!$E:$E,'Daily Expenses Log'!$A:$A,A139))</f>
        <v/>
      </c>
      <c r="F139" s="51">
        <f>IF(A139="","",SUMIFS('Creditors Tracker'!$F:$F,'Creditors Tracker'!$G:$G,A139))</f>
        <v/>
      </c>
      <c r="G139" s="51">
        <f>IF(A139="","",B139+C139+D139-E139-F139)</f>
        <v/>
      </c>
      <c r="H139" s="51">
        <f>IF(A139="","",SUM('Stock Master'!$J$2:$J$49))</f>
        <v/>
      </c>
      <c r="I139" s="51">
        <f>IF(A139="","",SUM('Credit Sales Tracker'!$J$2:$J$501))</f>
        <v/>
      </c>
      <c r="J139" s="51">
        <f>IF(A139="","",SUM('Creditors Tracker'!$H$2:$H$501))</f>
        <v/>
      </c>
      <c r="K139" s="49" t="n"/>
    </row>
    <row r="140">
      <c r="A140" s="52" t="n"/>
      <c r="B140" s="51">
        <f>IF(A140="","",G139)</f>
        <v/>
      </c>
      <c r="C140" s="51">
        <f>IF(A140="","",SUMIFS('Daily Sales Log'!$J:$J,'Daily Sales Log'!$A:$A,A140))</f>
        <v/>
      </c>
      <c r="D140" s="51">
        <f>IF(A140="","",SUMIFS('Credit Sales Tracker'!$H:$H,'Credit Sales Tracker'!$I:$I,A140))</f>
        <v/>
      </c>
      <c r="E140" s="51">
        <f>IF(A140="","",SUMIFS('Daily Expenses Log'!$E:$E,'Daily Expenses Log'!$A:$A,A140))</f>
        <v/>
      </c>
      <c r="F140" s="51">
        <f>IF(A140="","",SUMIFS('Creditors Tracker'!$F:$F,'Creditors Tracker'!$G:$G,A140))</f>
        <v/>
      </c>
      <c r="G140" s="51">
        <f>IF(A140="","",B140+C140+D140-E140-F140)</f>
        <v/>
      </c>
      <c r="H140" s="51">
        <f>IF(A140="","",SUM('Stock Master'!$J$2:$J$49))</f>
        <v/>
      </c>
      <c r="I140" s="51">
        <f>IF(A140="","",SUM('Credit Sales Tracker'!$J$2:$J$501))</f>
        <v/>
      </c>
      <c r="J140" s="51">
        <f>IF(A140="","",SUM('Creditors Tracker'!$H$2:$H$501))</f>
        <v/>
      </c>
      <c r="K140" s="49" t="n"/>
    </row>
    <row r="141">
      <c r="A141" s="52" t="n"/>
      <c r="B141" s="51">
        <f>IF(A141="","",G140)</f>
        <v/>
      </c>
      <c r="C141" s="51">
        <f>IF(A141="","",SUMIFS('Daily Sales Log'!$J:$J,'Daily Sales Log'!$A:$A,A141))</f>
        <v/>
      </c>
      <c r="D141" s="51">
        <f>IF(A141="","",SUMIFS('Credit Sales Tracker'!$H:$H,'Credit Sales Tracker'!$I:$I,A141))</f>
        <v/>
      </c>
      <c r="E141" s="51">
        <f>IF(A141="","",SUMIFS('Daily Expenses Log'!$E:$E,'Daily Expenses Log'!$A:$A,A141))</f>
        <v/>
      </c>
      <c r="F141" s="51">
        <f>IF(A141="","",SUMIFS('Creditors Tracker'!$F:$F,'Creditors Tracker'!$G:$G,A141))</f>
        <v/>
      </c>
      <c r="G141" s="51">
        <f>IF(A141="","",B141+C141+D141-E141-F141)</f>
        <v/>
      </c>
      <c r="H141" s="51">
        <f>IF(A141="","",SUM('Stock Master'!$J$2:$J$49))</f>
        <v/>
      </c>
      <c r="I141" s="51">
        <f>IF(A141="","",SUM('Credit Sales Tracker'!$J$2:$J$501))</f>
        <v/>
      </c>
      <c r="J141" s="51">
        <f>IF(A141="","",SUM('Creditors Tracker'!$H$2:$H$501))</f>
        <v/>
      </c>
      <c r="K141" s="49" t="n"/>
    </row>
    <row r="142">
      <c r="A142" s="52" t="n"/>
      <c r="B142" s="51">
        <f>IF(A142="","",G141)</f>
        <v/>
      </c>
      <c r="C142" s="51">
        <f>IF(A142="","",SUMIFS('Daily Sales Log'!$J:$J,'Daily Sales Log'!$A:$A,A142))</f>
        <v/>
      </c>
      <c r="D142" s="51">
        <f>IF(A142="","",SUMIFS('Credit Sales Tracker'!$H:$H,'Credit Sales Tracker'!$I:$I,A142))</f>
        <v/>
      </c>
      <c r="E142" s="51">
        <f>IF(A142="","",SUMIFS('Daily Expenses Log'!$E:$E,'Daily Expenses Log'!$A:$A,A142))</f>
        <v/>
      </c>
      <c r="F142" s="51">
        <f>IF(A142="","",SUMIFS('Creditors Tracker'!$F:$F,'Creditors Tracker'!$G:$G,A142))</f>
        <v/>
      </c>
      <c r="G142" s="51">
        <f>IF(A142="","",B142+C142+D142-E142-F142)</f>
        <v/>
      </c>
      <c r="H142" s="51">
        <f>IF(A142="","",SUM('Stock Master'!$J$2:$J$49))</f>
        <v/>
      </c>
      <c r="I142" s="51">
        <f>IF(A142="","",SUM('Credit Sales Tracker'!$J$2:$J$501))</f>
        <v/>
      </c>
      <c r="J142" s="51">
        <f>IF(A142="","",SUM('Creditors Tracker'!$H$2:$H$501))</f>
        <v/>
      </c>
      <c r="K142" s="49" t="n"/>
    </row>
    <row r="143">
      <c r="A143" s="52" t="n"/>
      <c r="B143" s="51">
        <f>IF(A143="","",G142)</f>
        <v/>
      </c>
      <c r="C143" s="51">
        <f>IF(A143="","",SUMIFS('Daily Sales Log'!$J:$J,'Daily Sales Log'!$A:$A,A143))</f>
        <v/>
      </c>
      <c r="D143" s="51">
        <f>IF(A143="","",SUMIFS('Credit Sales Tracker'!$H:$H,'Credit Sales Tracker'!$I:$I,A143))</f>
        <v/>
      </c>
      <c r="E143" s="51">
        <f>IF(A143="","",SUMIFS('Daily Expenses Log'!$E:$E,'Daily Expenses Log'!$A:$A,A143))</f>
        <v/>
      </c>
      <c r="F143" s="51">
        <f>IF(A143="","",SUMIFS('Creditors Tracker'!$F:$F,'Creditors Tracker'!$G:$G,A143))</f>
        <v/>
      </c>
      <c r="G143" s="51">
        <f>IF(A143="","",B143+C143+D143-E143-F143)</f>
        <v/>
      </c>
      <c r="H143" s="51">
        <f>IF(A143="","",SUM('Stock Master'!$J$2:$J$49))</f>
        <v/>
      </c>
      <c r="I143" s="51">
        <f>IF(A143="","",SUM('Credit Sales Tracker'!$J$2:$J$501))</f>
        <v/>
      </c>
      <c r="J143" s="51">
        <f>IF(A143="","",SUM('Creditors Tracker'!$H$2:$H$501))</f>
        <v/>
      </c>
      <c r="K143" s="49" t="n"/>
    </row>
    <row r="144">
      <c r="A144" s="52" t="n"/>
      <c r="B144" s="51">
        <f>IF(A144="","",G143)</f>
        <v/>
      </c>
      <c r="C144" s="51">
        <f>IF(A144="","",SUMIFS('Daily Sales Log'!$J:$J,'Daily Sales Log'!$A:$A,A144))</f>
        <v/>
      </c>
      <c r="D144" s="51">
        <f>IF(A144="","",SUMIFS('Credit Sales Tracker'!$H:$H,'Credit Sales Tracker'!$I:$I,A144))</f>
        <v/>
      </c>
      <c r="E144" s="51">
        <f>IF(A144="","",SUMIFS('Daily Expenses Log'!$E:$E,'Daily Expenses Log'!$A:$A,A144))</f>
        <v/>
      </c>
      <c r="F144" s="51">
        <f>IF(A144="","",SUMIFS('Creditors Tracker'!$F:$F,'Creditors Tracker'!$G:$G,A144))</f>
        <v/>
      </c>
      <c r="G144" s="51">
        <f>IF(A144="","",B144+C144+D144-E144-F144)</f>
        <v/>
      </c>
      <c r="H144" s="51">
        <f>IF(A144="","",SUM('Stock Master'!$J$2:$J$49))</f>
        <v/>
      </c>
      <c r="I144" s="51">
        <f>IF(A144="","",SUM('Credit Sales Tracker'!$J$2:$J$501))</f>
        <v/>
      </c>
      <c r="J144" s="51">
        <f>IF(A144="","",SUM('Creditors Tracker'!$H$2:$H$501))</f>
        <v/>
      </c>
      <c r="K144" s="49" t="n"/>
    </row>
    <row r="145">
      <c r="A145" s="52" t="n"/>
      <c r="B145" s="51">
        <f>IF(A145="","",G144)</f>
        <v/>
      </c>
      <c r="C145" s="51">
        <f>IF(A145="","",SUMIFS('Daily Sales Log'!$J:$J,'Daily Sales Log'!$A:$A,A145))</f>
        <v/>
      </c>
      <c r="D145" s="51">
        <f>IF(A145="","",SUMIFS('Credit Sales Tracker'!$H:$H,'Credit Sales Tracker'!$I:$I,A145))</f>
        <v/>
      </c>
      <c r="E145" s="51">
        <f>IF(A145="","",SUMIFS('Daily Expenses Log'!$E:$E,'Daily Expenses Log'!$A:$A,A145))</f>
        <v/>
      </c>
      <c r="F145" s="51">
        <f>IF(A145="","",SUMIFS('Creditors Tracker'!$F:$F,'Creditors Tracker'!$G:$G,A145))</f>
        <v/>
      </c>
      <c r="G145" s="51">
        <f>IF(A145="","",B145+C145+D145-E145-F145)</f>
        <v/>
      </c>
      <c r="H145" s="51">
        <f>IF(A145="","",SUM('Stock Master'!$J$2:$J$49))</f>
        <v/>
      </c>
      <c r="I145" s="51">
        <f>IF(A145="","",SUM('Credit Sales Tracker'!$J$2:$J$501))</f>
        <v/>
      </c>
      <c r="J145" s="51">
        <f>IF(A145="","",SUM('Creditors Tracker'!$H$2:$H$501))</f>
        <v/>
      </c>
      <c r="K145" s="49" t="n"/>
    </row>
    <row r="146">
      <c r="A146" s="52" t="n"/>
      <c r="B146" s="51">
        <f>IF(A146="","",G145)</f>
        <v/>
      </c>
      <c r="C146" s="51">
        <f>IF(A146="","",SUMIFS('Daily Sales Log'!$J:$J,'Daily Sales Log'!$A:$A,A146))</f>
        <v/>
      </c>
      <c r="D146" s="51">
        <f>IF(A146="","",SUMIFS('Credit Sales Tracker'!$H:$H,'Credit Sales Tracker'!$I:$I,A146))</f>
        <v/>
      </c>
      <c r="E146" s="51">
        <f>IF(A146="","",SUMIFS('Daily Expenses Log'!$E:$E,'Daily Expenses Log'!$A:$A,A146))</f>
        <v/>
      </c>
      <c r="F146" s="51">
        <f>IF(A146="","",SUMIFS('Creditors Tracker'!$F:$F,'Creditors Tracker'!$G:$G,A146))</f>
        <v/>
      </c>
      <c r="G146" s="51">
        <f>IF(A146="","",B146+C146+D146-E146-F146)</f>
        <v/>
      </c>
      <c r="H146" s="51">
        <f>IF(A146="","",SUM('Stock Master'!$J$2:$J$49))</f>
        <v/>
      </c>
      <c r="I146" s="51">
        <f>IF(A146="","",SUM('Credit Sales Tracker'!$J$2:$J$501))</f>
        <v/>
      </c>
      <c r="J146" s="51">
        <f>IF(A146="","",SUM('Creditors Tracker'!$H$2:$H$501))</f>
        <v/>
      </c>
      <c r="K146" s="49" t="n"/>
    </row>
    <row r="147">
      <c r="A147" s="52" t="n"/>
      <c r="B147" s="51">
        <f>IF(A147="","",G146)</f>
        <v/>
      </c>
      <c r="C147" s="51">
        <f>IF(A147="","",SUMIFS('Daily Sales Log'!$J:$J,'Daily Sales Log'!$A:$A,A147))</f>
        <v/>
      </c>
      <c r="D147" s="51">
        <f>IF(A147="","",SUMIFS('Credit Sales Tracker'!$H:$H,'Credit Sales Tracker'!$I:$I,A147))</f>
        <v/>
      </c>
      <c r="E147" s="51">
        <f>IF(A147="","",SUMIFS('Daily Expenses Log'!$E:$E,'Daily Expenses Log'!$A:$A,A147))</f>
        <v/>
      </c>
      <c r="F147" s="51">
        <f>IF(A147="","",SUMIFS('Creditors Tracker'!$F:$F,'Creditors Tracker'!$G:$G,A147))</f>
        <v/>
      </c>
      <c r="G147" s="51">
        <f>IF(A147="","",B147+C147+D147-E147-F147)</f>
        <v/>
      </c>
      <c r="H147" s="51">
        <f>IF(A147="","",SUM('Stock Master'!$J$2:$J$49))</f>
        <v/>
      </c>
      <c r="I147" s="51">
        <f>IF(A147="","",SUM('Credit Sales Tracker'!$J$2:$J$501))</f>
        <v/>
      </c>
      <c r="J147" s="51">
        <f>IF(A147="","",SUM('Creditors Tracker'!$H$2:$H$501))</f>
        <v/>
      </c>
      <c r="K147" s="49" t="n"/>
    </row>
    <row r="148">
      <c r="A148" s="52" t="n"/>
      <c r="B148" s="51">
        <f>IF(A148="","",G147)</f>
        <v/>
      </c>
      <c r="C148" s="51">
        <f>IF(A148="","",SUMIFS('Daily Sales Log'!$J:$J,'Daily Sales Log'!$A:$A,A148))</f>
        <v/>
      </c>
      <c r="D148" s="51">
        <f>IF(A148="","",SUMIFS('Credit Sales Tracker'!$H:$H,'Credit Sales Tracker'!$I:$I,A148))</f>
        <v/>
      </c>
      <c r="E148" s="51">
        <f>IF(A148="","",SUMIFS('Daily Expenses Log'!$E:$E,'Daily Expenses Log'!$A:$A,A148))</f>
        <v/>
      </c>
      <c r="F148" s="51">
        <f>IF(A148="","",SUMIFS('Creditors Tracker'!$F:$F,'Creditors Tracker'!$G:$G,A148))</f>
        <v/>
      </c>
      <c r="G148" s="51">
        <f>IF(A148="","",B148+C148+D148-E148-F148)</f>
        <v/>
      </c>
      <c r="H148" s="51">
        <f>IF(A148="","",SUM('Stock Master'!$J$2:$J$49))</f>
        <v/>
      </c>
      <c r="I148" s="51">
        <f>IF(A148="","",SUM('Credit Sales Tracker'!$J$2:$J$501))</f>
        <v/>
      </c>
      <c r="J148" s="51">
        <f>IF(A148="","",SUM('Creditors Tracker'!$H$2:$H$501))</f>
        <v/>
      </c>
      <c r="K148" s="49" t="n"/>
    </row>
    <row r="149">
      <c r="A149" s="52" t="n"/>
      <c r="B149" s="51">
        <f>IF(A149="","",G148)</f>
        <v/>
      </c>
      <c r="C149" s="51">
        <f>IF(A149="","",SUMIFS('Daily Sales Log'!$J:$J,'Daily Sales Log'!$A:$A,A149))</f>
        <v/>
      </c>
      <c r="D149" s="51">
        <f>IF(A149="","",SUMIFS('Credit Sales Tracker'!$H:$H,'Credit Sales Tracker'!$I:$I,A149))</f>
        <v/>
      </c>
      <c r="E149" s="51">
        <f>IF(A149="","",SUMIFS('Daily Expenses Log'!$E:$E,'Daily Expenses Log'!$A:$A,A149))</f>
        <v/>
      </c>
      <c r="F149" s="51">
        <f>IF(A149="","",SUMIFS('Creditors Tracker'!$F:$F,'Creditors Tracker'!$G:$G,A149))</f>
        <v/>
      </c>
      <c r="G149" s="51">
        <f>IF(A149="","",B149+C149+D149-E149-F149)</f>
        <v/>
      </c>
      <c r="H149" s="51">
        <f>IF(A149="","",SUM('Stock Master'!$J$2:$J$49))</f>
        <v/>
      </c>
      <c r="I149" s="51">
        <f>IF(A149="","",SUM('Credit Sales Tracker'!$J$2:$J$501))</f>
        <v/>
      </c>
      <c r="J149" s="51">
        <f>IF(A149="","",SUM('Creditors Tracker'!$H$2:$H$501))</f>
        <v/>
      </c>
      <c r="K149" s="49" t="n"/>
    </row>
    <row r="150">
      <c r="A150" s="52" t="n"/>
      <c r="B150" s="51">
        <f>IF(A150="","",G149)</f>
        <v/>
      </c>
      <c r="C150" s="51">
        <f>IF(A150="","",SUMIFS('Daily Sales Log'!$J:$J,'Daily Sales Log'!$A:$A,A150))</f>
        <v/>
      </c>
      <c r="D150" s="51">
        <f>IF(A150="","",SUMIFS('Credit Sales Tracker'!$H:$H,'Credit Sales Tracker'!$I:$I,A150))</f>
        <v/>
      </c>
      <c r="E150" s="51">
        <f>IF(A150="","",SUMIFS('Daily Expenses Log'!$E:$E,'Daily Expenses Log'!$A:$A,A150))</f>
        <v/>
      </c>
      <c r="F150" s="51">
        <f>IF(A150="","",SUMIFS('Creditors Tracker'!$F:$F,'Creditors Tracker'!$G:$G,A150))</f>
        <v/>
      </c>
      <c r="G150" s="51">
        <f>IF(A150="","",B150+C150+D150-E150-F150)</f>
        <v/>
      </c>
      <c r="H150" s="51">
        <f>IF(A150="","",SUM('Stock Master'!$J$2:$J$49))</f>
        <v/>
      </c>
      <c r="I150" s="51">
        <f>IF(A150="","",SUM('Credit Sales Tracker'!$J$2:$J$501))</f>
        <v/>
      </c>
      <c r="J150" s="51">
        <f>IF(A150="","",SUM('Creditors Tracker'!$H$2:$H$501))</f>
        <v/>
      </c>
      <c r="K150" s="49" t="n"/>
    </row>
    <row r="151">
      <c r="A151" s="52" t="n"/>
      <c r="B151" s="51">
        <f>IF(A151="","",G150)</f>
        <v/>
      </c>
      <c r="C151" s="51">
        <f>IF(A151="","",SUMIFS('Daily Sales Log'!$J:$J,'Daily Sales Log'!$A:$A,A151))</f>
        <v/>
      </c>
      <c r="D151" s="51">
        <f>IF(A151="","",SUMIFS('Credit Sales Tracker'!$H:$H,'Credit Sales Tracker'!$I:$I,A151))</f>
        <v/>
      </c>
      <c r="E151" s="51">
        <f>IF(A151="","",SUMIFS('Daily Expenses Log'!$E:$E,'Daily Expenses Log'!$A:$A,A151))</f>
        <v/>
      </c>
      <c r="F151" s="51">
        <f>IF(A151="","",SUMIFS('Creditors Tracker'!$F:$F,'Creditors Tracker'!$G:$G,A151))</f>
        <v/>
      </c>
      <c r="G151" s="51">
        <f>IF(A151="","",B151+C151+D151-E151-F151)</f>
        <v/>
      </c>
      <c r="H151" s="51">
        <f>IF(A151="","",SUM('Stock Master'!$J$2:$J$49))</f>
        <v/>
      </c>
      <c r="I151" s="51">
        <f>IF(A151="","",SUM('Credit Sales Tracker'!$J$2:$J$501))</f>
        <v/>
      </c>
      <c r="J151" s="51">
        <f>IF(A151="","",SUM('Creditors Tracker'!$H$2:$H$501))</f>
        <v/>
      </c>
      <c r="K151" s="49" t="n"/>
    </row>
    <row r="152">
      <c r="A152" s="52" t="n"/>
      <c r="B152" s="51">
        <f>IF(A152="","",G151)</f>
        <v/>
      </c>
      <c r="C152" s="51">
        <f>IF(A152="","",SUMIFS('Daily Sales Log'!$J:$J,'Daily Sales Log'!$A:$A,A152))</f>
        <v/>
      </c>
      <c r="D152" s="51">
        <f>IF(A152="","",SUMIFS('Credit Sales Tracker'!$H:$H,'Credit Sales Tracker'!$I:$I,A152))</f>
        <v/>
      </c>
      <c r="E152" s="51">
        <f>IF(A152="","",SUMIFS('Daily Expenses Log'!$E:$E,'Daily Expenses Log'!$A:$A,A152))</f>
        <v/>
      </c>
      <c r="F152" s="51">
        <f>IF(A152="","",SUMIFS('Creditors Tracker'!$F:$F,'Creditors Tracker'!$G:$G,A152))</f>
        <v/>
      </c>
      <c r="G152" s="51">
        <f>IF(A152="","",B152+C152+D152-E152-F152)</f>
        <v/>
      </c>
      <c r="H152" s="51">
        <f>IF(A152="","",SUM('Stock Master'!$J$2:$J$49))</f>
        <v/>
      </c>
      <c r="I152" s="51">
        <f>IF(A152="","",SUM('Credit Sales Tracker'!$J$2:$J$501))</f>
        <v/>
      </c>
      <c r="J152" s="51">
        <f>IF(A152="","",SUM('Creditors Tracker'!$H$2:$H$501))</f>
        <v/>
      </c>
      <c r="K152" s="49" t="n"/>
    </row>
    <row r="153">
      <c r="A153" s="52" t="n"/>
      <c r="B153" s="51">
        <f>IF(A153="","",G152)</f>
        <v/>
      </c>
      <c r="C153" s="51">
        <f>IF(A153="","",SUMIFS('Daily Sales Log'!$J:$J,'Daily Sales Log'!$A:$A,A153))</f>
        <v/>
      </c>
      <c r="D153" s="51">
        <f>IF(A153="","",SUMIFS('Credit Sales Tracker'!$H:$H,'Credit Sales Tracker'!$I:$I,A153))</f>
        <v/>
      </c>
      <c r="E153" s="51">
        <f>IF(A153="","",SUMIFS('Daily Expenses Log'!$E:$E,'Daily Expenses Log'!$A:$A,A153))</f>
        <v/>
      </c>
      <c r="F153" s="51">
        <f>IF(A153="","",SUMIFS('Creditors Tracker'!$F:$F,'Creditors Tracker'!$G:$G,A153))</f>
        <v/>
      </c>
      <c r="G153" s="51">
        <f>IF(A153="","",B153+C153+D153-E153-F153)</f>
        <v/>
      </c>
      <c r="H153" s="51">
        <f>IF(A153="","",SUM('Stock Master'!$J$2:$J$49))</f>
        <v/>
      </c>
      <c r="I153" s="51">
        <f>IF(A153="","",SUM('Credit Sales Tracker'!$J$2:$J$501))</f>
        <v/>
      </c>
      <c r="J153" s="51">
        <f>IF(A153="","",SUM('Creditors Tracker'!$H$2:$H$501))</f>
        <v/>
      </c>
      <c r="K153" s="49" t="n"/>
    </row>
    <row r="154">
      <c r="A154" s="52" t="n"/>
      <c r="B154" s="51">
        <f>IF(A154="","",G153)</f>
        <v/>
      </c>
      <c r="C154" s="51">
        <f>IF(A154="","",SUMIFS('Daily Sales Log'!$J:$J,'Daily Sales Log'!$A:$A,A154))</f>
        <v/>
      </c>
      <c r="D154" s="51">
        <f>IF(A154="","",SUMIFS('Credit Sales Tracker'!$H:$H,'Credit Sales Tracker'!$I:$I,A154))</f>
        <v/>
      </c>
      <c r="E154" s="51">
        <f>IF(A154="","",SUMIFS('Daily Expenses Log'!$E:$E,'Daily Expenses Log'!$A:$A,A154))</f>
        <v/>
      </c>
      <c r="F154" s="51">
        <f>IF(A154="","",SUMIFS('Creditors Tracker'!$F:$F,'Creditors Tracker'!$G:$G,A154))</f>
        <v/>
      </c>
      <c r="G154" s="51">
        <f>IF(A154="","",B154+C154+D154-E154-F154)</f>
        <v/>
      </c>
      <c r="H154" s="51">
        <f>IF(A154="","",SUM('Stock Master'!$J$2:$J$49))</f>
        <v/>
      </c>
      <c r="I154" s="51">
        <f>IF(A154="","",SUM('Credit Sales Tracker'!$J$2:$J$501))</f>
        <v/>
      </c>
      <c r="J154" s="51">
        <f>IF(A154="","",SUM('Creditors Tracker'!$H$2:$H$501))</f>
        <v/>
      </c>
      <c r="K154" s="49" t="n"/>
    </row>
    <row r="155">
      <c r="A155" s="52" t="n"/>
      <c r="B155" s="51">
        <f>IF(A155="","",G154)</f>
        <v/>
      </c>
      <c r="C155" s="51">
        <f>IF(A155="","",SUMIFS('Daily Sales Log'!$J:$J,'Daily Sales Log'!$A:$A,A155))</f>
        <v/>
      </c>
      <c r="D155" s="51">
        <f>IF(A155="","",SUMIFS('Credit Sales Tracker'!$H:$H,'Credit Sales Tracker'!$I:$I,A155))</f>
        <v/>
      </c>
      <c r="E155" s="51">
        <f>IF(A155="","",SUMIFS('Daily Expenses Log'!$E:$E,'Daily Expenses Log'!$A:$A,A155))</f>
        <v/>
      </c>
      <c r="F155" s="51">
        <f>IF(A155="","",SUMIFS('Creditors Tracker'!$F:$F,'Creditors Tracker'!$G:$G,A155))</f>
        <v/>
      </c>
      <c r="G155" s="51">
        <f>IF(A155="","",B155+C155+D155-E155-F155)</f>
        <v/>
      </c>
      <c r="H155" s="51">
        <f>IF(A155="","",SUM('Stock Master'!$J$2:$J$49))</f>
        <v/>
      </c>
      <c r="I155" s="51">
        <f>IF(A155="","",SUM('Credit Sales Tracker'!$J$2:$J$501))</f>
        <v/>
      </c>
      <c r="J155" s="51">
        <f>IF(A155="","",SUM('Creditors Tracker'!$H$2:$H$501))</f>
        <v/>
      </c>
      <c r="K155" s="49" t="n"/>
    </row>
    <row r="156">
      <c r="A156" s="52" t="n"/>
      <c r="B156" s="51">
        <f>IF(A156="","",G155)</f>
        <v/>
      </c>
      <c r="C156" s="51">
        <f>IF(A156="","",SUMIFS('Daily Sales Log'!$J:$J,'Daily Sales Log'!$A:$A,A156))</f>
        <v/>
      </c>
      <c r="D156" s="51">
        <f>IF(A156="","",SUMIFS('Credit Sales Tracker'!$H:$H,'Credit Sales Tracker'!$I:$I,A156))</f>
        <v/>
      </c>
      <c r="E156" s="51">
        <f>IF(A156="","",SUMIFS('Daily Expenses Log'!$E:$E,'Daily Expenses Log'!$A:$A,A156))</f>
        <v/>
      </c>
      <c r="F156" s="51">
        <f>IF(A156="","",SUMIFS('Creditors Tracker'!$F:$F,'Creditors Tracker'!$G:$G,A156))</f>
        <v/>
      </c>
      <c r="G156" s="51">
        <f>IF(A156="","",B156+C156+D156-E156-F156)</f>
        <v/>
      </c>
      <c r="H156" s="51">
        <f>IF(A156="","",SUM('Stock Master'!$J$2:$J$49))</f>
        <v/>
      </c>
      <c r="I156" s="51">
        <f>IF(A156="","",SUM('Credit Sales Tracker'!$J$2:$J$501))</f>
        <v/>
      </c>
      <c r="J156" s="51">
        <f>IF(A156="","",SUM('Creditors Tracker'!$H$2:$H$501))</f>
        <v/>
      </c>
      <c r="K156" s="49" t="n"/>
    </row>
    <row r="157">
      <c r="A157" s="52" t="n"/>
      <c r="B157" s="51">
        <f>IF(A157="","",G156)</f>
        <v/>
      </c>
      <c r="C157" s="51">
        <f>IF(A157="","",SUMIFS('Daily Sales Log'!$J:$J,'Daily Sales Log'!$A:$A,A157))</f>
        <v/>
      </c>
      <c r="D157" s="51">
        <f>IF(A157="","",SUMIFS('Credit Sales Tracker'!$H:$H,'Credit Sales Tracker'!$I:$I,A157))</f>
        <v/>
      </c>
      <c r="E157" s="51">
        <f>IF(A157="","",SUMIFS('Daily Expenses Log'!$E:$E,'Daily Expenses Log'!$A:$A,A157))</f>
        <v/>
      </c>
      <c r="F157" s="51">
        <f>IF(A157="","",SUMIFS('Creditors Tracker'!$F:$F,'Creditors Tracker'!$G:$G,A157))</f>
        <v/>
      </c>
      <c r="G157" s="51">
        <f>IF(A157="","",B157+C157+D157-E157-F157)</f>
        <v/>
      </c>
      <c r="H157" s="51">
        <f>IF(A157="","",SUM('Stock Master'!$J$2:$J$49))</f>
        <v/>
      </c>
      <c r="I157" s="51">
        <f>IF(A157="","",SUM('Credit Sales Tracker'!$J$2:$J$501))</f>
        <v/>
      </c>
      <c r="J157" s="51">
        <f>IF(A157="","",SUM('Creditors Tracker'!$H$2:$H$501))</f>
        <v/>
      </c>
      <c r="K157" s="49" t="n"/>
    </row>
    <row r="158">
      <c r="A158" s="52" t="n"/>
      <c r="B158" s="51">
        <f>IF(A158="","",G157)</f>
        <v/>
      </c>
      <c r="C158" s="51">
        <f>IF(A158="","",SUMIFS('Daily Sales Log'!$J:$J,'Daily Sales Log'!$A:$A,A158))</f>
        <v/>
      </c>
      <c r="D158" s="51">
        <f>IF(A158="","",SUMIFS('Credit Sales Tracker'!$H:$H,'Credit Sales Tracker'!$I:$I,A158))</f>
        <v/>
      </c>
      <c r="E158" s="51">
        <f>IF(A158="","",SUMIFS('Daily Expenses Log'!$E:$E,'Daily Expenses Log'!$A:$A,A158))</f>
        <v/>
      </c>
      <c r="F158" s="51">
        <f>IF(A158="","",SUMIFS('Creditors Tracker'!$F:$F,'Creditors Tracker'!$G:$G,A158))</f>
        <v/>
      </c>
      <c r="G158" s="51">
        <f>IF(A158="","",B158+C158+D158-E158-F158)</f>
        <v/>
      </c>
      <c r="H158" s="51">
        <f>IF(A158="","",SUM('Stock Master'!$J$2:$J$49))</f>
        <v/>
      </c>
      <c r="I158" s="51">
        <f>IF(A158="","",SUM('Credit Sales Tracker'!$J$2:$J$501))</f>
        <v/>
      </c>
      <c r="J158" s="51">
        <f>IF(A158="","",SUM('Creditors Tracker'!$H$2:$H$501))</f>
        <v/>
      </c>
      <c r="K158" s="49" t="n"/>
    </row>
    <row r="159">
      <c r="A159" s="52" t="n"/>
      <c r="B159" s="51">
        <f>IF(A159="","",G158)</f>
        <v/>
      </c>
      <c r="C159" s="51">
        <f>IF(A159="","",SUMIFS('Daily Sales Log'!$J:$J,'Daily Sales Log'!$A:$A,A159))</f>
        <v/>
      </c>
      <c r="D159" s="51">
        <f>IF(A159="","",SUMIFS('Credit Sales Tracker'!$H:$H,'Credit Sales Tracker'!$I:$I,A159))</f>
        <v/>
      </c>
      <c r="E159" s="51">
        <f>IF(A159="","",SUMIFS('Daily Expenses Log'!$E:$E,'Daily Expenses Log'!$A:$A,A159))</f>
        <v/>
      </c>
      <c r="F159" s="51">
        <f>IF(A159="","",SUMIFS('Creditors Tracker'!$F:$F,'Creditors Tracker'!$G:$G,A159))</f>
        <v/>
      </c>
      <c r="G159" s="51">
        <f>IF(A159="","",B159+C159+D159-E159-F159)</f>
        <v/>
      </c>
      <c r="H159" s="51">
        <f>IF(A159="","",SUM('Stock Master'!$J$2:$J$49))</f>
        <v/>
      </c>
      <c r="I159" s="51">
        <f>IF(A159="","",SUM('Credit Sales Tracker'!$J$2:$J$501))</f>
        <v/>
      </c>
      <c r="J159" s="51">
        <f>IF(A159="","",SUM('Creditors Tracker'!$H$2:$H$501))</f>
        <v/>
      </c>
      <c r="K159" s="49" t="n"/>
    </row>
    <row r="160">
      <c r="A160" s="52" t="n"/>
      <c r="B160" s="51">
        <f>IF(A160="","",G159)</f>
        <v/>
      </c>
      <c r="C160" s="51">
        <f>IF(A160="","",SUMIFS('Daily Sales Log'!$J:$J,'Daily Sales Log'!$A:$A,A160))</f>
        <v/>
      </c>
      <c r="D160" s="51">
        <f>IF(A160="","",SUMIFS('Credit Sales Tracker'!$H:$H,'Credit Sales Tracker'!$I:$I,A160))</f>
        <v/>
      </c>
      <c r="E160" s="51">
        <f>IF(A160="","",SUMIFS('Daily Expenses Log'!$E:$E,'Daily Expenses Log'!$A:$A,A160))</f>
        <v/>
      </c>
      <c r="F160" s="51">
        <f>IF(A160="","",SUMIFS('Creditors Tracker'!$F:$F,'Creditors Tracker'!$G:$G,A160))</f>
        <v/>
      </c>
      <c r="G160" s="51">
        <f>IF(A160="","",B160+C160+D160-E160-F160)</f>
        <v/>
      </c>
      <c r="H160" s="51">
        <f>IF(A160="","",SUM('Stock Master'!$J$2:$J$49))</f>
        <v/>
      </c>
      <c r="I160" s="51">
        <f>IF(A160="","",SUM('Credit Sales Tracker'!$J$2:$J$501))</f>
        <v/>
      </c>
      <c r="J160" s="51">
        <f>IF(A160="","",SUM('Creditors Tracker'!$H$2:$H$501))</f>
        <v/>
      </c>
      <c r="K160" s="49" t="n"/>
    </row>
    <row r="161">
      <c r="A161" s="52" t="n"/>
      <c r="B161" s="51">
        <f>IF(A161="","",G160)</f>
        <v/>
      </c>
      <c r="C161" s="51">
        <f>IF(A161="","",SUMIFS('Daily Sales Log'!$J:$J,'Daily Sales Log'!$A:$A,A161))</f>
        <v/>
      </c>
      <c r="D161" s="51">
        <f>IF(A161="","",SUMIFS('Credit Sales Tracker'!$H:$H,'Credit Sales Tracker'!$I:$I,A161))</f>
        <v/>
      </c>
      <c r="E161" s="51">
        <f>IF(A161="","",SUMIFS('Daily Expenses Log'!$E:$E,'Daily Expenses Log'!$A:$A,A161))</f>
        <v/>
      </c>
      <c r="F161" s="51">
        <f>IF(A161="","",SUMIFS('Creditors Tracker'!$F:$F,'Creditors Tracker'!$G:$G,A161))</f>
        <v/>
      </c>
      <c r="G161" s="51">
        <f>IF(A161="","",B161+C161+D161-E161-F161)</f>
        <v/>
      </c>
      <c r="H161" s="51">
        <f>IF(A161="","",SUM('Stock Master'!$J$2:$J$49))</f>
        <v/>
      </c>
      <c r="I161" s="51">
        <f>IF(A161="","",SUM('Credit Sales Tracker'!$J$2:$J$501))</f>
        <v/>
      </c>
      <c r="J161" s="51">
        <f>IF(A161="","",SUM('Creditors Tracker'!$H$2:$H$501))</f>
        <v/>
      </c>
      <c r="K161" s="49" t="n"/>
    </row>
    <row r="162">
      <c r="A162" s="52" t="n"/>
      <c r="B162" s="51">
        <f>IF(A162="","",G161)</f>
        <v/>
      </c>
      <c r="C162" s="51">
        <f>IF(A162="","",SUMIFS('Daily Sales Log'!$J:$J,'Daily Sales Log'!$A:$A,A162))</f>
        <v/>
      </c>
      <c r="D162" s="51">
        <f>IF(A162="","",SUMIFS('Credit Sales Tracker'!$H:$H,'Credit Sales Tracker'!$I:$I,A162))</f>
        <v/>
      </c>
      <c r="E162" s="51">
        <f>IF(A162="","",SUMIFS('Daily Expenses Log'!$E:$E,'Daily Expenses Log'!$A:$A,A162))</f>
        <v/>
      </c>
      <c r="F162" s="51">
        <f>IF(A162="","",SUMIFS('Creditors Tracker'!$F:$F,'Creditors Tracker'!$G:$G,A162))</f>
        <v/>
      </c>
      <c r="G162" s="51">
        <f>IF(A162="","",B162+C162+D162-E162-F162)</f>
        <v/>
      </c>
      <c r="H162" s="51">
        <f>IF(A162="","",SUM('Stock Master'!$J$2:$J$49))</f>
        <v/>
      </c>
      <c r="I162" s="51">
        <f>IF(A162="","",SUM('Credit Sales Tracker'!$J$2:$J$501))</f>
        <v/>
      </c>
      <c r="J162" s="51">
        <f>IF(A162="","",SUM('Creditors Tracker'!$H$2:$H$501))</f>
        <v/>
      </c>
      <c r="K162" s="49" t="n"/>
    </row>
    <row r="163">
      <c r="A163" s="52" t="n"/>
      <c r="B163" s="51">
        <f>IF(A163="","",G162)</f>
        <v/>
      </c>
      <c r="C163" s="51">
        <f>IF(A163="","",SUMIFS('Daily Sales Log'!$J:$J,'Daily Sales Log'!$A:$A,A163))</f>
        <v/>
      </c>
      <c r="D163" s="51">
        <f>IF(A163="","",SUMIFS('Credit Sales Tracker'!$H:$H,'Credit Sales Tracker'!$I:$I,A163))</f>
        <v/>
      </c>
      <c r="E163" s="51">
        <f>IF(A163="","",SUMIFS('Daily Expenses Log'!$E:$E,'Daily Expenses Log'!$A:$A,A163))</f>
        <v/>
      </c>
      <c r="F163" s="51">
        <f>IF(A163="","",SUMIFS('Creditors Tracker'!$F:$F,'Creditors Tracker'!$G:$G,A163))</f>
        <v/>
      </c>
      <c r="G163" s="51">
        <f>IF(A163="","",B163+C163+D163-E163-F163)</f>
        <v/>
      </c>
      <c r="H163" s="51">
        <f>IF(A163="","",SUM('Stock Master'!$J$2:$J$49))</f>
        <v/>
      </c>
      <c r="I163" s="51">
        <f>IF(A163="","",SUM('Credit Sales Tracker'!$J$2:$J$501))</f>
        <v/>
      </c>
      <c r="J163" s="51">
        <f>IF(A163="","",SUM('Creditors Tracker'!$H$2:$H$501))</f>
        <v/>
      </c>
      <c r="K163" s="49" t="n"/>
    </row>
    <row r="164">
      <c r="A164" s="52" t="n"/>
      <c r="B164" s="51">
        <f>IF(A164="","",G163)</f>
        <v/>
      </c>
      <c r="C164" s="51">
        <f>IF(A164="","",SUMIFS('Daily Sales Log'!$J:$J,'Daily Sales Log'!$A:$A,A164))</f>
        <v/>
      </c>
      <c r="D164" s="51">
        <f>IF(A164="","",SUMIFS('Credit Sales Tracker'!$H:$H,'Credit Sales Tracker'!$I:$I,A164))</f>
        <v/>
      </c>
      <c r="E164" s="51">
        <f>IF(A164="","",SUMIFS('Daily Expenses Log'!$E:$E,'Daily Expenses Log'!$A:$A,A164))</f>
        <v/>
      </c>
      <c r="F164" s="51">
        <f>IF(A164="","",SUMIFS('Creditors Tracker'!$F:$F,'Creditors Tracker'!$G:$G,A164))</f>
        <v/>
      </c>
      <c r="G164" s="51">
        <f>IF(A164="","",B164+C164+D164-E164-F164)</f>
        <v/>
      </c>
      <c r="H164" s="51">
        <f>IF(A164="","",SUM('Stock Master'!$J$2:$J$49))</f>
        <v/>
      </c>
      <c r="I164" s="51">
        <f>IF(A164="","",SUM('Credit Sales Tracker'!$J$2:$J$501))</f>
        <v/>
      </c>
      <c r="J164" s="51">
        <f>IF(A164="","",SUM('Creditors Tracker'!$H$2:$H$501))</f>
        <v/>
      </c>
      <c r="K164" s="49" t="n"/>
    </row>
    <row r="165">
      <c r="A165" s="52" t="n"/>
      <c r="B165" s="51">
        <f>IF(A165="","",G164)</f>
        <v/>
      </c>
      <c r="C165" s="51">
        <f>IF(A165="","",SUMIFS('Daily Sales Log'!$J:$J,'Daily Sales Log'!$A:$A,A165))</f>
        <v/>
      </c>
      <c r="D165" s="51">
        <f>IF(A165="","",SUMIFS('Credit Sales Tracker'!$H:$H,'Credit Sales Tracker'!$I:$I,A165))</f>
        <v/>
      </c>
      <c r="E165" s="51">
        <f>IF(A165="","",SUMIFS('Daily Expenses Log'!$E:$E,'Daily Expenses Log'!$A:$A,A165))</f>
        <v/>
      </c>
      <c r="F165" s="51">
        <f>IF(A165="","",SUMIFS('Creditors Tracker'!$F:$F,'Creditors Tracker'!$G:$G,A165))</f>
        <v/>
      </c>
      <c r="G165" s="51">
        <f>IF(A165="","",B165+C165+D165-E165-F165)</f>
        <v/>
      </c>
      <c r="H165" s="51">
        <f>IF(A165="","",SUM('Stock Master'!$J$2:$J$49))</f>
        <v/>
      </c>
      <c r="I165" s="51">
        <f>IF(A165="","",SUM('Credit Sales Tracker'!$J$2:$J$501))</f>
        <v/>
      </c>
      <c r="J165" s="51">
        <f>IF(A165="","",SUM('Creditors Tracker'!$H$2:$H$501))</f>
        <v/>
      </c>
      <c r="K165" s="49" t="n"/>
    </row>
    <row r="166">
      <c r="A166" s="52" t="n"/>
      <c r="B166" s="51">
        <f>IF(A166="","",G165)</f>
        <v/>
      </c>
      <c r="C166" s="51">
        <f>IF(A166="","",SUMIFS('Daily Sales Log'!$J:$J,'Daily Sales Log'!$A:$A,A166))</f>
        <v/>
      </c>
      <c r="D166" s="51">
        <f>IF(A166="","",SUMIFS('Credit Sales Tracker'!$H:$H,'Credit Sales Tracker'!$I:$I,A166))</f>
        <v/>
      </c>
      <c r="E166" s="51">
        <f>IF(A166="","",SUMIFS('Daily Expenses Log'!$E:$E,'Daily Expenses Log'!$A:$A,A166))</f>
        <v/>
      </c>
      <c r="F166" s="51">
        <f>IF(A166="","",SUMIFS('Creditors Tracker'!$F:$F,'Creditors Tracker'!$G:$G,A166))</f>
        <v/>
      </c>
      <c r="G166" s="51">
        <f>IF(A166="","",B166+C166+D166-E166-F166)</f>
        <v/>
      </c>
      <c r="H166" s="51">
        <f>IF(A166="","",SUM('Stock Master'!$J$2:$J$49))</f>
        <v/>
      </c>
      <c r="I166" s="51">
        <f>IF(A166="","",SUM('Credit Sales Tracker'!$J$2:$J$501))</f>
        <v/>
      </c>
      <c r="J166" s="51">
        <f>IF(A166="","",SUM('Creditors Tracker'!$H$2:$H$501))</f>
        <v/>
      </c>
      <c r="K166" s="49" t="n"/>
    </row>
    <row r="167">
      <c r="A167" s="52" t="n"/>
      <c r="B167" s="51">
        <f>IF(A167="","",G166)</f>
        <v/>
      </c>
      <c r="C167" s="51">
        <f>IF(A167="","",SUMIFS('Daily Sales Log'!$J:$J,'Daily Sales Log'!$A:$A,A167))</f>
        <v/>
      </c>
      <c r="D167" s="51">
        <f>IF(A167="","",SUMIFS('Credit Sales Tracker'!$H:$H,'Credit Sales Tracker'!$I:$I,A167))</f>
        <v/>
      </c>
      <c r="E167" s="51">
        <f>IF(A167="","",SUMIFS('Daily Expenses Log'!$E:$E,'Daily Expenses Log'!$A:$A,A167))</f>
        <v/>
      </c>
      <c r="F167" s="51">
        <f>IF(A167="","",SUMIFS('Creditors Tracker'!$F:$F,'Creditors Tracker'!$G:$G,A167))</f>
        <v/>
      </c>
      <c r="G167" s="51">
        <f>IF(A167="","",B167+C167+D167-E167-F167)</f>
        <v/>
      </c>
      <c r="H167" s="51">
        <f>IF(A167="","",SUM('Stock Master'!$J$2:$J$49))</f>
        <v/>
      </c>
      <c r="I167" s="51">
        <f>IF(A167="","",SUM('Credit Sales Tracker'!$J$2:$J$501))</f>
        <v/>
      </c>
      <c r="J167" s="51">
        <f>IF(A167="","",SUM('Creditors Tracker'!$H$2:$H$501))</f>
        <v/>
      </c>
      <c r="K167" s="49" t="n"/>
    </row>
    <row r="168">
      <c r="A168" s="52" t="n"/>
      <c r="B168" s="51">
        <f>IF(A168="","",G167)</f>
        <v/>
      </c>
      <c r="C168" s="51">
        <f>IF(A168="","",SUMIFS('Daily Sales Log'!$J:$J,'Daily Sales Log'!$A:$A,A168))</f>
        <v/>
      </c>
      <c r="D168" s="51">
        <f>IF(A168="","",SUMIFS('Credit Sales Tracker'!$H:$H,'Credit Sales Tracker'!$I:$I,A168))</f>
        <v/>
      </c>
      <c r="E168" s="51">
        <f>IF(A168="","",SUMIFS('Daily Expenses Log'!$E:$E,'Daily Expenses Log'!$A:$A,A168))</f>
        <v/>
      </c>
      <c r="F168" s="51">
        <f>IF(A168="","",SUMIFS('Creditors Tracker'!$F:$F,'Creditors Tracker'!$G:$G,A168))</f>
        <v/>
      </c>
      <c r="G168" s="51">
        <f>IF(A168="","",B168+C168+D168-E168-F168)</f>
        <v/>
      </c>
      <c r="H168" s="51">
        <f>IF(A168="","",SUM('Stock Master'!$J$2:$J$49))</f>
        <v/>
      </c>
      <c r="I168" s="51">
        <f>IF(A168="","",SUM('Credit Sales Tracker'!$J$2:$J$501))</f>
        <v/>
      </c>
      <c r="J168" s="51">
        <f>IF(A168="","",SUM('Creditors Tracker'!$H$2:$H$501))</f>
        <v/>
      </c>
      <c r="K168" s="49" t="n"/>
    </row>
    <row r="169">
      <c r="A169" s="52" t="n"/>
      <c r="B169" s="51">
        <f>IF(A169="","",G168)</f>
        <v/>
      </c>
      <c r="C169" s="51">
        <f>IF(A169="","",SUMIFS('Daily Sales Log'!$J:$J,'Daily Sales Log'!$A:$A,A169))</f>
        <v/>
      </c>
      <c r="D169" s="51">
        <f>IF(A169="","",SUMIFS('Credit Sales Tracker'!$H:$H,'Credit Sales Tracker'!$I:$I,A169))</f>
        <v/>
      </c>
      <c r="E169" s="51">
        <f>IF(A169="","",SUMIFS('Daily Expenses Log'!$E:$E,'Daily Expenses Log'!$A:$A,A169))</f>
        <v/>
      </c>
      <c r="F169" s="51">
        <f>IF(A169="","",SUMIFS('Creditors Tracker'!$F:$F,'Creditors Tracker'!$G:$G,A169))</f>
        <v/>
      </c>
      <c r="G169" s="51">
        <f>IF(A169="","",B169+C169+D169-E169-F169)</f>
        <v/>
      </c>
      <c r="H169" s="51">
        <f>IF(A169="","",SUM('Stock Master'!$J$2:$J$49))</f>
        <v/>
      </c>
      <c r="I169" s="51">
        <f>IF(A169="","",SUM('Credit Sales Tracker'!$J$2:$J$501))</f>
        <v/>
      </c>
      <c r="J169" s="51">
        <f>IF(A169="","",SUM('Creditors Tracker'!$H$2:$H$501))</f>
        <v/>
      </c>
      <c r="K169" s="49" t="n"/>
    </row>
    <row r="170">
      <c r="A170" s="52" t="n"/>
      <c r="B170" s="51">
        <f>IF(A170="","",G169)</f>
        <v/>
      </c>
      <c r="C170" s="51">
        <f>IF(A170="","",SUMIFS('Daily Sales Log'!$J:$J,'Daily Sales Log'!$A:$A,A170))</f>
        <v/>
      </c>
      <c r="D170" s="51">
        <f>IF(A170="","",SUMIFS('Credit Sales Tracker'!$H:$H,'Credit Sales Tracker'!$I:$I,A170))</f>
        <v/>
      </c>
      <c r="E170" s="51">
        <f>IF(A170="","",SUMIFS('Daily Expenses Log'!$E:$E,'Daily Expenses Log'!$A:$A,A170))</f>
        <v/>
      </c>
      <c r="F170" s="51">
        <f>IF(A170="","",SUMIFS('Creditors Tracker'!$F:$F,'Creditors Tracker'!$G:$G,A170))</f>
        <v/>
      </c>
      <c r="G170" s="51">
        <f>IF(A170="","",B170+C170+D170-E170-F170)</f>
        <v/>
      </c>
      <c r="H170" s="51">
        <f>IF(A170="","",SUM('Stock Master'!$J$2:$J$49))</f>
        <v/>
      </c>
      <c r="I170" s="51">
        <f>IF(A170="","",SUM('Credit Sales Tracker'!$J$2:$J$501))</f>
        <v/>
      </c>
      <c r="J170" s="51">
        <f>IF(A170="","",SUM('Creditors Tracker'!$H$2:$H$501))</f>
        <v/>
      </c>
      <c r="K170" s="49" t="n"/>
    </row>
    <row r="171">
      <c r="A171" s="52" t="n"/>
      <c r="B171" s="51">
        <f>IF(A171="","",G170)</f>
        <v/>
      </c>
      <c r="C171" s="51">
        <f>IF(A171="","",SUMIFS('Daily Sales Log'!$J:$J,'Daily Sales Log'!$A:$A,A171))</f>
        <v/>
      </c>
      <c r="D171" s="51">
        <f>IF(A171="","",SUMIFS('Credit Sales Tracker'!$H:$H,'Credit Sales Tracker'!$I:$I,A171))</f>
        <v/>
      </c>
      <c r="E171" s="51">
        <f>IF(A171="","",SUMIFS('Daily Expenses Log'!$E:$E,'Daily Expenses Log'!$A:$A,A171))</f>
        <v/>
      </c>
      <c r="F171" s="51">
        <f>IF(A171="","",SUMIFS('Creditors Tracker'!$F:$F,'Creditors Tracker'!$G:$G,A171))</f>
        <v/>
      </c>
      <c r="G171" s="51">
        <f>IF(A171="","",B171+C171+D171-E171-F171)</f>
        <v/>
      </c>
      <c r="H171" s="51">
        <f>IF(A171="","",SUM('Stock Master'!$J$2:$J$49))</f>
        <v/>
      </c>
      <c r="I171" s="51">
        <f>IF(A171="","",SUM('Credit Sales Tracker'!$J$2:$J$501))</f>
        <v/>
      </c>
      <c r="J171" s="51">
        <f>IF(A171="","",SUM('Creditors Tracker'!$H$2:$H$501))</f>
        <v/>
      </c>
      <c r="K171" s="49" t="n"/>
    </row>
    <row r="172">
      <c r="A172" s="52" t="n"/>
      <c r="B172" s="51">
        <f>IF(A172="","",G171)</f>
        <v/>
      </c>
      <c r="C172" s="51">
        <f>IF(A172="","",SUMIFS('Daily Sales Log'!$J:$J,'Daily Sales Log'!$A:$A,A172))</f>
        <v/>
      </c>
      <c r="D172" s="51">
        <f>IF(A172="","",SUMIFS('Credit Sales Tracker'!$H:$H,'Credit Sales Tracker'!$I:$I,A172))</f>
        <v/>
      </c>
      <c r="E172" s="51">
        <f>IF(A172="","",SUMIFS('Daily Expenses Log'!$E:$E,'Daily Expenses Log'!$A:$A,A172))</f>
        <v/>
      </c>
      <c r="F172" s="51">
        <f>IF(A172="","",SUMIFS('Creditors Tracker'!$F:$F,'Creditors Tracker'!$G:$G,A172))</f>
        <v/>
      </c>
      <c r="G172" s="51">
        <f>IF(A172="","",B172+C172+D172-E172-F172)</f>
        <v/>
      </c>
      <c r="H172" s="51">
        <f>IF(A172="","",SUM('Stock Master'!$J$2:$J$49))</f>
        <v/>
      </c>
      <c r="I172" s="51">
        <f>IF(A172="","",SUM('Credit Sales Tracker'!$J$2:$J$501))</f>
        <v/>
      </c>
      <c r="J172" s="51">
        <f>IF(A172="","",SUM('Creditors Tracker'!$H$2:$H$501))</f>
        <v/>
      </c>
      <c r="K172" s="49" t="n"/>
    </row>
    <row r="173">
      <c r="A173" s="52" t="n"/>
      <c r="B173" s="51">
        <f>IF(A173="","",G172)</f>
        <v/>
      </c>
      <c r="C173" s="51">
        <f>IF(A173="","",SUMIFS('Daily Sales Log'!$J:$J,'Daily Sales Log'!$A:$A,A173))</f>
        <v/>
      </c>
      <c r="D173" s="51">
        <f>IF(A173="","",SUMIFS('Credit Sales Tracker'!$H:$H,'Credit Sales Tracker'!$I:$I,A173))</f>
        <v/>
      </c>
      <c r="E173" s="51">
        <f>IF(A173="","",SUMIFS('Daily Expenses Log'!$E:$E,'Daily Expenses Log'!$A:$A,A173))</f>
        <v/>
      </c>
      <c r="F173" s="51">
        <f>IF(A173="","",SUMIFS('Creditors Tracker'!$F:$F,'Creditors Tracker'!$G:$G,A173))</f>
        <v/>
      </c>
      <c r="G173" s="51">
        <f>IF(A173="","",B173+C173+D173-E173-F173)</f>
        <v/>
      </c>
      <c r="H173" s="51">
        <f>IF(A173="","",SUM('Stock Master'!$J$2:$J$49))</f>
        <v/>
      </c>
      <c r="I173" s="51">
        <f>IF(A173="","",SUM('Credit Sales Tracker'!$J$2:$J$501))</f>
        <v/>
      </c>
      <c r="J173" s="51">
        <f>IF(A173="","",SUM('Creditors Tracker'!$H$2:$H$501))</f>
        <v/>
      </c>
      <c r="K173" s="49" t="n"/>
    </row>
    <row r="174">
      <c r="A174" s="52" t="n"/>
      <c r="B174" s="51">
        <f>IF(A174="","",G173)</f>
        <v/>
      </c>
      <c r="C174" s="51">
        <f>IF(A174="","",SUMIFS('Daily Sales Log'!$J:$J,'Daily Sales Log'!$A:$A,A174))</f>
        <v/>
      </c>
      <c r="D174" s="51">
        <f>IF(A174="","",SUMIFS('Credit Sales Tracker'!$H:$H,'Credit Sales Tracker'!$I:$I,A174))</f>
        <v/>
      </c>
      <c r="E174" s="51">
        <f>IF(A174="","",SUMIFS('Daily Expenses Log'!$E:$E,'Daily Expenses Log'!$A:$A,A174))</f>
        <v/>
      </c>
      <c r="F174" s="51">
        <f>IF(A174="","",SUMIFS('Creditors Tracker'!$F:$F,'Creditors Tracker'!$G:$G,A174))</f>
        <v/>
      </c>
      <c r="G174" s="51">
        <f>IF(A174="","",B174+C174+D174-E174-F174)</f>
        <v/>
      </c>
      <c r="H174" s="51">
        <f>IF(A174="","",SUM('Stock Master'!$J$2:$J$49))</f>
        <v/>
      </c>
      <c r="I174" s="51">
        <f>IF(A174="","",SUM('Credit Sales Tracker'!$J$2:$J$501))</f>
        <v/>
      </c>
      <c r="J174" s="51">
        <f>IF(A174="","",SUM('Creditors Tracker'!$H$2:$H$501))</f>
        <v/>
      </c>
      <c r="K174" s="49" t="n"/>
    </row>
    <row r="175">
      <c r="A175" s="52" t="n"/>
      <c r="B175" s="51">
        <f>IF(A175="","",G174)</f>
        <v/>
      </c>
      <c r="C175" s="51">
        <f>IF(A175="","",SUMIFS('Daily Sales Log'!$J:$J,'Daily Sales Log'!$A:$A,A175))</f>
        <v/>
      </c>
      <c r="D175" s="51">
        <f>IF(A175="","",SUMIFS('Credit Sales Tracker'!$H:$H,'Credit Sales Tracker'!$I:$I,A175))</f>
        <v/>
      </c>
      <c r="E175" s="51">
        <f>IF(A175="","",SUMIFS('Daily Expenses Log'!$E:$E,'Daily Expenses Log'!$A:$A,A175))</f>
        <v/>
      </c>
      <c r="F175" s="51">
        <f>IF(A175="","",SUMIFS('Creditors Tracker'!$F:$F,'Creditors Tracker'!$G:$G,A175))</f>
        <v/>
      </c>
      <c r="G175" s="51">
        <f>IF(A175="","",B175+C175+D175-E175-F175)</f>
        <v/>
      </c>
      <c r="H175" s="51">
        <f>IF(A175="","",SUM('Stock Master'!$J$2:$J$49))</f>
        <v/>
      </c>
      <c r="I175" s="51">
        <f>IF(A175="","",SUM('Credit Sales Tracker'!$J$2:$J$501))</f>
        <v/>
      </c>
      <c r="J175" s="51">
        <f>IF(A175="","",SUM('Creditors Tracker'!$H$2:$H$501))</f>
        <v/>
      </c>
      <c r="K175" s="49" t="n"/>
    </row>
    <row r="176">
      <c r="A176" s="52" t="n"/>
      <c r="B176" s="51">
        <f>IF(A176="","",G175)</f>
        <v/>
      </c>
      <c r="C176" s="51">
        <f>IF(A176="","",SUMIFS('Daily Sales Log'!$J:$J,'Daily Sales Log'!$A:$A,A176))</f>
        <v/>
      </c>
      <c r="D176" s="51">
        <f>IF(A176="","",SUMIFS('Credit Sales Tracker'!$H:$H,'Credit Sales Tracker'!$I:$I,A176))</f>
        <v/>
      </c>
      <c r="E176" s="51">
        <f>IF(A176="","",SUMIFS('Daily Expenses Log'!$E:$E,'Daily Expenses Log'!$A:$A,A176))</f>
        <v/>
      </c>
      <c r="F176" s="51">
        <f>IF(A176="","",SUMIFS('Creditors Tracker'!$F:$F,'Creditors Tracker'!$G:$G,A176))</f>
        <v/>
      </c>
      <c r="G176" s="51">
        <f>IF(A176="","",B176+C176+D176-E176-F176)</f>
        <v/>
      </c>
      <c r="H176" s="51">
        <f>IF(A176="","",SUM('Stock Master'!$J$2:$J$49))</f>
        <v/>
      </c>
      <c r="I176" s="51">
        <f>IF(A176="","",SUM('Credit Sales Tracker'!$J$2:$J$501))</f>
        <v/>
      </c>
      <c r="J176" s="51">
        <f>IF(A176="","",SUM('Creditors Tracker'!$H$2:$H$501))</f>
        <v/>
      </c>
      <c r="K176" s="49" t="n"/>
    </row>
    <row r="177">
      <c r="A177" s="52" t="n"/>
      <c r="B177" s="51">
        <f>IF(A177="","",G176)</f>
        <v/>
      </c>
      <c r="C177" s="51">
        <f>IF(A177="","",SUMIFS('Daily Sales Log'!$J:$J,'Daily Sales Log'!$A:$A,A177))</f>
        <v/>
      </c>
      <c r="D177" s="51">
        <f>IF(A177="","",SUMIFS('Credit Sales Tracker'!$H:$H,'Credit Sales Tracker'!$I:$I,A177))</f>
        <v/>
      </c>
      <c r="E177" s="51">
        <f>IF(A177="","",SUMIFS('Daily Expenses Log'!$E:$E,'Daily Expenses Log'!$A:$A,A177))</f>
        <v/>
      </c>
      <c r="F177" s="51">
        <f>IF(A177="","",SUMIFS('Creditors Tracker'!$F:$F,'Creditors Tracker'!$G:$G,A177))</f>
        <v/>
      </c>
      <c r="G177" s="51">
        <f>IF(A177="","",B177+C177+D177-E177-F177)</f>
        <v/>
      </c>
      <c r="H177" s="51">
        <f>IF(A177="","",SUM('Stock Master'!$J$2:$J$49))</f>
        <v/>
      </c>
      <c r="I177" s="51">
        <f>IF(A177="","",SUM('Credit Sales Tracker'!$J$2:$J$501))</f>
        <v/>
      </c>
      <c r="J177" s="51">
        <f>IF(A177="","",SUM('Creditors Tracker'!$H$2:$H$501))</f>
        <v/>
      </c>
      <c r="K177" s="49" t="n"/>
    </row>
    <row r="178">
      <c r="A178" s="52" t="n"/>
      <c r="B178" s="51">
        <f>IF(A178="","",G177)</f>
        <v/>
      </c>
      <c r="C178" s="51">
        <f>IF(A178="","",SUMIFS('Daily Sales Log'!$J:$J,'Daily Sales Log'!$A:$A,A178))</f>
        <v/>
      </c>
      <c r="D178" s="51">
        <f>IF(A178="","",SUMIFS('Credit Sales Tracker'!$H:$H,'Credit Sales Tracker'!$I:$I,A178))</f>
        <v/>
      </c>
      <c r="E178" s="51">
        <f>IF(A178="","",SUMIFS('Daily Expenses Log'!$E:$E,'Daily Expenses Log'!$A:$A,A178))</f>
        <v/>
      </c>
      <c r="F178" s="51">
        <f>IF(A178="","",SUMIFS('Creditors Tracker'!$F:$F,'Creditors Tracker'!$G:$G,A178))</f>
        <v/>
      </c>
      <c r="G178" s="51">
        <f>IF(A178="","",B178+C178+D178-E178-F178)</f>
        <v/>
      </c>
      <c r="H178" s="51">
        <f>IF(A178="","",SUM('Stock Master'!$J$2:$J$49))</f>
        <v/>
      </c>
      <c r="I178" s="51">
        <f>IF(A178="","",SUM('Credit Sales Tracker'!$J$2:$J$501))</f>
        <v/>
      </c>
      <c r="J178" s="51">
        <f>IF(A178="","",SUM('Creditors Tracker'!$H$2:$H$501))</f>
        <v/>
      </c>
      <c r="K178" s="49" t="n"/>
    </row>
    <row r="179">
      <c r="A179" s="52" t="n"/>
      <c r="B179" s="51">
        <f>IF(A179="","",G178)</f>
        <v/>
      </c>
      <c r="C179" s="51">
        <f>IF(A179="","",SUMIFS('Daily Sales Log'!$J:$J,'Daily Sales Log'!$A:$A,A179))</f>
        <v/>
      </c>
      <c r="D179" s="51">
        <f>IF(A179="","",SUMIFS('Credit Sales Tracker'!$H:$H,'Credit Sales Tracker'!$I:$I,A179))</f>
        <v/>
      </c>
      <c r="E179" s="51">
        <f>IF(A179="","",SUMIFS('Daily Expenses Log'!$E:$E,'Daily Expenses Log'!$A:$A,A179))</f>
        <v/>
      </c>
      <c r="F179" s="51">
        <f>IF(A179="","",SUMIFS('Creditors Tracker'!$F:$F,'Creditors Tracker'!$G:$G,A179))</f>
        <v/>
      </c>
      <c r="G179" s="51">
        <f>IF(A179="","",B179+C179+D179-E179-F179)</f>
        <v/>
      </c>
      <c r="H179" s="51">
        <f>IF(A179="","",SUM('Stock Master'!$J$2:$J$49))</f>
        <v/>
      </c>
      <c r="I179" s="51">
        <f>IF(A179="","",SUM('Credit Sales Tracker'!$J$2:$J$501))</f>
        <v/>
      </c>
      <c r="J179" s="51">
        <f>IF(A179="","",SUM('Creditors Tracker'!$H$2:$H$501))</f>
        <v/>
      </c>
      <c r="K179" s="49" t="n"/>
    </row>
    <row r="180">
      <c r="A180" s="52" t="n"/>
      <c r="B180" s="51">
        <f>IF(A180="","",G179)</f>
        <v/>
      </c>
      <c r="C180" s="51">
        <f>IF(A180="","",SUMIFS('Daily Sales Log'!$J:$J,'Daily Sales Log'!$A:$A,A180))</f>
        <v/>
      </c>
      <c r="D180" s="51">
        <f>IF(A180="","",SUMIFS('Credit Sales Tracker'!$H:$H,'Credit Sales Tracker'!$I:$I,A180))</f>
        <v/>
      </c>
      <c r="E180" s="51">
        <f>IF(A180="","",SUMIFS('Daily Expenses Log'!$E:$E,'Daily Expenses Log'!$A:$A,A180))</f>
        <v/>
      </c>
      <c r="F180" s="51">
        <f>IF(A180="","",SUMIFS('Creditors Tracker'!$F:$F,'Creditors Tracker'!$G:$G,A180))</f>
        <v/>
      </c>
      <c r="G180" s="51">
        <f>IF(A180="","",B180+C180+D180-E180-F180)</f>
        <v/>
      </c>
      <c r="H180" s="51">
        <f>IF(A180="","",SUM('Stock Master'!$J$2:$J$49))</f>
        <v/>
      </c>
      <c r="I180" s="51">
        <f>IF(A180="","",SUM('Credit Sales Tracker'!$J$2:$J$501))</f>
        <v/>
      </c>
      <c r="J180" s="51">
        <f>IF(A180="","",SUM('Creditors Tracker'!$H$2:$H$501))</f>
        <v/>
      </c>
      <c r="K180" s="49" t="n"/>
    </row>
    <row r="181">
      <c r="A181" s="52" t="n"/>
      <c r="B181" s="51">
        <f>IF(A181="","",G180)</f>
        <v/>
      </c>
      <c r="C181" s="51">
        <f>IF(A181="","",SUMIFS('Daily Sales Log'!$J:$J,'Daily Sales Log'!$A:$A,A181))</f>
        <v/>
      </c>
      <c r="D181" s="51">
        <f>IF(A181="","",SUMIFS('Credit Sales Tracker'!$H:$H,'Credit Sales Tracker'!$I:$I,A181))</f>
        <v/>
      </c>
      <c r="E181" s="51">
        <f>IF(A181="","",SUMIFS('Daily Expenses Log'!$E:$E,'Daily Expenses Log'!$A:$A,A181))</f>
        <v/>
      </c>
      <c r="F181" s="51">
        <f>IF(A181="","",SUMIFS('Creditors Tracker'!$F:$F,'Creditors Tracker'!$G:$G,A181))</f>
        <v/>
      </c>
      <c r="G181" s="51">
        <f>IF(A181="","",B181+C181+D181-E181-F181)</f>
        <v/>
      </c>
      <c r="H181" s="51">
        <f>IF(A181="","",SUM('Stock Master'!$J$2:$J$49))</f>
        <v/>
      </c>
      <c r="I181" s="51">
        <f>IF(A181="","",SUM('Credit Sales Tracker'!$J$2:$J$501))</f>
        <v/>
      </c>
      <c r="J181" s="51">
        <f>IF(A181="","",SUM('Creditors Tracker'!$H$2:$H$501))</f>
        <v/>
      </c>
      <c r="K181" s="49" t="n"/>
    </row>
    <row r="182">
      <c r="A182" s="52" t="n"/>
      <c r="B182" s="51">
        <f>IF(A182="","",G181)</f>
        <v/>
      </c>
      <c r="C182" s="51">
        <f>IF(A182="","",SUMIFS('Daily Sales Log'!$J:$J,'Daily Sales Log'!$A:$A,A182))</f>
        <v/>
      </c>
      <c r="D182" s="51">
        <f>IF(A182="","",SUMIFS('Credit Sales Tracker'!$H:$H,'Credit Sales Tracker'!$I:$I,A182))</f>
        <v/>
      </c>
      <c r="E182" s="51">
        <f>IF(A182="","",SUMIFS('Daily Expenses Log'!$E:$E,'Daily Expenses Log'!$A:$A,A182))</f>
        <v/>
      </c>
      <c r="F182" s="51">
        <f>IF(A182="","",SUMIFS('Creditors Tracker'!$F:$F,'Creditors Tracker'!$G:$G,A182))</f>
        <v/>
      </c>
      <c r="G182" s="51">
        <f>IF(A182="","",B182+C182+D182-E182-F182)</f>
        <v/>
      </c>
      <c r="H182" s="51">
        <f>IF(A182="","",SUM('Stock Master'!$J$2:$J$49))</f>
        <v/>
      </c>
      <c r="I182" s="51">
        <f>IF(A182="","",SUM('Credit Sales Tracker'!$J$2:$J$501))</f>
        <v/>
      </c>
      <c r="J182" s="51">
        <f>IF(A182="","",SUM('Creditors Tracker'!$H$2:$H$501))</f>
        <v/>
      </c>
      <c r="K182" s="49" t="n"/>
    </row>
    <row r="183">
      <c r="A183" s="52" t="n"/>
      <c r="B183" s="51">
        <f>IF(A183="","",G182)</f>
        <v/>
      </c>
      <c r="C183" s="51">
        <f>IF(A183="","",SUMIFS('Daily Sales Log'!$J:$J,'Daily Sales Log'!$A:$A,A183))</f>
        <v/>
      </c>
      <c r="D183" s="51">
        <f>IF(A183="","",SUMIFS('Credit Sales Tracker'!$H:$H,'Credit Sales Tracker'!$I:$I,A183))</f>
        <v/>
      </c>
      <c r="E183" s="51">
        <f>IF(A183="","",SUMIFS('Daily Expenses Log'!$E:$E,'Daily Expenses Log'!$A:$A,A183))</f>
        <v/>
      </c>
      <c r="F183" s="51">
        <f>IF(A183="","",SUMIFS('Creditors Tracker'!$F:$F,'Creditors Tracker'!$G:$G,A183))</f>
        <v/>
      </c>
      <c r="G183" s="51">
        <f>IF(A183="","",B183+C183+D183-E183-F183)</f>
        <v/>
      </c>
      <c r="H183" s="51">
        <f>IF(A183="","",SUM('Stock Master'!$J$2:$J$49))</f>
        <v/>
      </c>
      <c r="I183" s="51">
        <f>IF(A183="","",SUM('Credit Sales Tracker'!$J$2:$J$501))</f>
        <v/>
      </c>
      <c r="J183" s="51">
        <f>IF(A183="","",SUM('Creditors Tracker'!$H$2:$H$501))</f>
        <v/>
      </c>
      <c r="K183" s="49" t="n"/>
    </row>
    <row r="184">
      <c r="A184" s="52" t="n"/>
      <c r="B184" s="51">
        <f>IF(A184="","",G183)</f>
        <v/>
      </c>
      <c r="C184" s="51">
        <f>IF(A184="","",SUMIFS('Daily Sales Log'!$J:$J,'Daily Sales Log'!$A:$A,A184))</f>
        <v/>
      </c>
      <c r="D184" s="51">
        <f>IF(A184="","",SUMIFS('Credit Sales Tracker'!$H:$H,'Credit Sales Tracker'!$I:$I,A184))</f>
        <v/>
      </c>
      <c r="E184" s="51">
        <f>IF(A184="","",SUMIFS('Daily Expenses Log'!$E:$E,'Daily Expenses Log'!$A:$A,A184))</f>
        <v/>
      </c>
      <c r="F184" s="51">
        <f>IF(A184="","",SUMIFS('Creditors Tracker'!$F:$F,'Creditors Tracker'!$G:$G,A184))</f>
        <v/>
      </c>
      <c r="G184" s="51">
        <f>IF(A184="","",B184+C184+D184-E184-F184)</f>
        <v/>
      </c>
      <c r="H184" s="51">
        <f>IF(A184="","",SUM('Stock Master'!$J$2:$J$49))</f>
        <v/>
      </c>
      <c r="I184" s="51">
        <f>IF(A184="","",SUM('Credit Sales Tracker'!$J$2:$J$501))</f>
        <v/>
      </c>
      <c r="J184" s="51">
        <f>IF(A184="","",SUM('Creditors Tracker'!$H$2:$H$501))</f>
        <v/>
      </c>
      <c r="K184" s="49" t="n"/>
    </row>
    <row r="185">
      <c r="A185" s="52" t="n"/>
      <c r="B185" s="51">
        <f>IF(A185="","",G184)</f>
        <v/>
      </c>
      <c r="C185" s="51">
        <f>IF(A185="","",SUMIFS('Daily Sales Log'!$J:$J,'Daily Sales Log'!$A:$A,A185))</f>
        <v/>
      </c>
      <c r="D185" s="51">
        <f>IF(A185="","",SUMIFS('Credit Sales Tracker'!$H:$H,'Credit Sales Tracker'!$I:$I,A185))</f>
        <v/>
      </c>
      <c r="E185" s="51">
        <f>IF(A185="","",SUMIFS('Daily Expenses Log'!$E:$E,'Daily Expenses Log'!$A:$A,A185))</f>
        <v/>
      </c>
      <c r="F185" s="51">
        <f>IF(A185="","",SUMIFS('Creditors Tracker'!$F:$F,'Creditors Tracker'!$G:$G,A185))</f>
        <v/>
      </c>
      <c r="G185" s="51">
        <f>IF(A185="","",B185+C185+D185-E185-F185)</f>
        <v/>
      </c>
      <c r="H185" s="51">
        <f>IF(A185="","",SUM('Stock Master'!$J$2:$J$49))</f>
        <v/>
      </c>
      <c r="I185" s="51">
        <f>IF(A185="","",SUM('Credit Sales Tracker'!$J$2:$J$501))</f>
        <v/>
      </c>
      <c r="J185" s="51">
        <f>IF(A185="","",SUM('Creditors Tracker'!$H$2:$H$501))</f>
        <v/>
      </c>
      <c r="K185" s="49" t="n"/>
    </row>
    <row r="186">
      <c r="A186" s="52" t="n"/>
      <c r="B186" s="51">
        <f>IF(A186="","",G185)</f>
        <v/>
      </c>
      <c r="C186" s="51">
        <f>IF(A186="","",SUMIFS('Daily Sales Log'!$J:$J,'Daily Sales Log'!$A:$A,A186))</f>
        <v/>
      </c>
      <c r="D186" s="51">
        <f>IF(A186="","",SUMIFS('Credit Sales Tracker'!$H:$H,'Credit Sales Tracker'!$I:$I,A186))</f>
        <v/>
      </c>
      <c r="E186" s="51">
        <f>IF(A186="","",SUMIFS('Daily Expenses Log'!$E:$E,'Daily Expenses Log'!$A:$A,A186))</f>
        <v/>
      </c>
      <c r="F186" s="51">
        <f>IF(A186="","",SUMIFS('Creditors Tracker'!$F:$F,'Creditors Tracker'!$G:$G,A186))</f>
        <v/>
      </c>
      <c r="G186" s="51">
        <f>IF(A186="","",B186+C186+D186-E186-F186)</f>
        <v/>
      </c>
      <c r="H186" s="51">
        <f>IF(A186="","",SUM('Stock Master'!$J$2:$J$49))</f>
        <v/>
      </c>
      <c r="I186" s="51">
        <f>IF(A186="","",SUM('Credit Sales Tracker'!$J$2:$J$501))</f>
        <v/>
      </c>
      <c r="J186" s="51">
        <f>IF(A186="","",SUM('Creditors Tracker'!$H$2:$H$501))</f>
        <v/>
      </c>
      <c r="K186" s="49" t="n"/>
    </row>
    <row r="187">
      <c r="A187" s="52" t="n"/>
      <c r="B187" s="51">
        <f>IF(A187="","",G186)</f>
        <v/>
      </c>
      <c r="C187" s="51">
        <f>IF(A187="","",SUMIFS('Daily Sales Log'!$J:$J,'Daily Sales Log'!$A:$A,A187))</f>
        <v/>
      </c>
      <c r="D187" s="51">
        <f>IF(A187="","",SUMIFS('Credit Sales Tracker'!$H:$H,'Credit Sales Tracker'!$I:$I,A187))</f>
        <v/>
      </c>
      <c r="E187" s="51">
        <f>IF(A187="","",SUMIFS('Daily Expenses Log'!$E:$E,'Daily Expenses Log'!$A:$A,A187))</f>
        <v/>
      </c>
      <c r="F187" s="51">
        <f>IF(A187="","",SUMIFS('Creditors Tracker'!$F:$F,'Creditors Tracker'!$G:$G,A187))</f>
        <v/>
      </c>
      <c r="G187" s="51">
        <f>IF(A187="","",B187+C187+D187-E187-F187)</f>
        <v/>
      </c>
      <c r="H187" s="51">
        <f>IF(A187="","",SUM('Stock Master'!$J$2:$J$49))</f>
        <v/>
      </c>
      <c r="I187" s="51">
        <f>IF(A187="","",SUM('Credit Sales Tracker'!$J$2:$J$501))</f>
        <v/>
      </c>
      <c r="J187" s="51">
        <f>IF(A187="","",SUM('Creditors Tracker'!$H$2:$H$501))</f>
        <v/>
      </c>
      <c r="K187" s="49" t="n"/>
    </row>
    <row r="188">
      <c r="A188" s="52" t="n"/>
      <c r="B188" s="51">
        <f>IF(A188="","",G187)</f>
        <v/>
      </c>
      <c r="C188" s="51">
        <f>IF(A188="","",SUMIFS('Daily Sales Log'!$J:$J,'Daily Sales Log'!$A:$A,A188))</f>
        <v/>
      </c>
      <c r="D188" s="51">
        <f>IF(A188="","",SUMIFS('Credit Sales Tracker'!$H:$H,'Credit Sales Tracker'!$I:$I,A188))</f>
        <v/>
      </c>
      <c r="E188" s="51">
        <f>IF(A188="","",SUMIFS('Daily Expenses Log'!$E:$E,'Daily Expenses Log'!$A:$A,A188))</f>
        <v/>
      </c>
      <c r="F188" s="51">
        <f>IF(A188="","",SUMIFS('Creditors Tracker'!$F:$F,'Creditors Tracker'!$G:$G,A188))</f>
        <v/>
      </c>
      <c r="G188" s="51">
        <f>IF(A188="","",B188+C188+D188-E188-F188)</f>
        <v/>
      </c>
      <c r="H188" s="51">
        <f>IF(A188="","",SUM('Stock Master'!$J$2:$J$49))</f>
        <v/>
      </c>
      <c r="I188" s="51">
        <f>IF(A188="","",SUM('Credit Sales Tracker'!$J$2:$J$501))</f>
        <v/>
      </c>
      <c r="J188" s="51">
        <f>IF(A188="","",SUM('Creditors Tracker'!$H$2:$H$501))</f>
        <v/>
      </c>
      <c r="K188" s="49" t="n"/>
    </row>
    <row r="189">
      <c r="A189" s="52" t="n"/>
      <c r="B189" s="51">
        <f>IF(A189="","",G188)</f>
        <v/>
      </c>
      <c r="C189" s="51">
        <f>IF(A189="","",SUMIFS('Daily Sales Log'!$J:$J,'Daily Sales Log'!$A:$A,A189))</f>
        <v/>
      </c>
      <c r="D189" s="51">
        <f>IF(A189="","",SUMIFS('Credit Sales Tracker'!$H:$H,'Credit Sales Tracker'!$I:$I,A189))</f>
        <v/>
      </c>
      <c r="E189" s="51">
        <f>IF(A189="","",SUMIFS('Daily Expenses Log'!$E:$E,'Daily Expenses Log'!$A:$A,A189))</f>
        <v/>
      </c>
      <c r="F189" s="51">
        <f>IF(A189="","",SUMIFS('Creditors Tracker'!$F:$F,'Creditors Tracker'!$G:$G,A189))</f>
        <v/>
      </c>
      <c r="G189" s="51">
        <f>IF(A189="","",B189+C189+D189-E189-F189)</f>
        <v/>
      </c>
      <c r="H189" s="51">
        <f>IF(A189="","",SUM('Stock Master'!$J$2:$J$49))</f>
        <v/>
      </c>
      <c r="I189" s="51">
        <f>IF(A189="","",SUM('Credit Sales Tracker'!$J$2:$J$501))</f>
        <v/>
      </c>
      <c r="J189" s="51">
        <f>IF(A189="","",SUM('Creditors Tracker'!$H$2:$H$501))</f>
        <v/>
      </c>
      <c r="K189" s="49" t="n"/>
    </row>
    <row r="190">
      <c r="A190" s="52" t="n"/>
      <c r="B190" s="51">
        <f>IF(A190="","",G189)</f>
        <v/>
      </c>
      <c r="C190" s="51">
        <f>IF(A190="","",SUMIFS('Daily Sales Log'!$J:$J,'Daily Sales Log'!$A:$A,A190))</f>
        <v/>
      </c>
      <c r="D190" s="51">
        <f>IF(A190="","",SUMIFS('Credit Sales Tracker'!$H:$H,'Credit Sales Tracker'!$I:$I,A190))</f>
        <v/>
      </c>
      <c r="E190" s="51">
        <f>IF(A190="","",SUMIFS('Daily Expenses Log'!$E:$E,'Daily Expenses Log'!$A:$A,A190))</f>
        <v/>
      </c>
      <c r="F190" s="51">
        <f>IF(A190="","",SUMIFS('Creditors Tracker'!$F:$F,'Creditors Tracker'!$G:$G,A190))</f>
        <v/>
      </c>
      <c r="G190" s="51">
        <f>IF(A190="","",B190+C190+D190-E190-F190)</f>
        <v/>
      </c>
      <c r="H190" s="51">
        <f>IF(A190="","",SUM('Stock Master'!$J$2:$J$49))</f>
        <v/>
      </c>
      <c r="I190" s="51">
        <f>IF(A190="","",SUM('Credit Sales Tracker'!$J$2:$J$501))</f>
        <v/>
      </c>
      <c r="J190" s="51">
        <f>IF(A190="","",SUM('Creditors Tracker'!$H$2:$H$501))</f>
        <v/>
      </c>
      <c r="K190" s="49" t="n"/>
    </row>
    <row r="191">
      <c r="A191" s="52" t="n"/>
      <c r="B191" s="51">
        <f>IF(A191="","",G190)</f>
        <v/>
      </c>
      <c r="C191" s="51">
        <f>IF(A191="","",SUMIFS('Daily Sales Log'!$J:$J,'Daily Sales Log'!$A:$A,A191))</f>
        <v/>
      </c>
      <c r="D191" s="51">
        <f>IF(A191="","",SUMIFS('Credit Sales Tracker'!$H:$H,'Credit Sales Tracker'!$I:$I,A191))</f>
        <v/>
      </c>
      <c r="E191" s="51">
        <f>IF(A191="","",SUMIFS('Daily Expenses Log'!$E:$E,'Daily Expenses Log'!$A:$A,A191))</f>
        <v/>
      </c>
      <c r="F191" s="51">
        <f>IF(A191="","",SUMIFS('Creditors Tracker'!$F:$F,'Creditors Tracker'!$G:$G,A191))</f>
        <v/>
      </c>
      <c r="G191" s="51">
        <f>IF(A191="","",B191+C191+D191-E191-F191)</f>
        <v/>
      </c>
      <c r="H191" s="51">
        <f>IF(A191="","",SUM('Stock Master'!$J$2:$J$49))</f>
        <v/>
      </c>
      <c r="I191" s="51">
        <f>IF(A191="","",SUM('Credit Sales Tracker'!$J$2:$J$501))</f>
        <v/>
      </c>
      <c r="J191" s="51">
        <f>IF(A191="","",SUM('Creditors Tracker'!$H$2:$H$501))</f>
        <v/>
      </c>
      <c r="K191" s="49" t="n"/>
    </row>
    <row r="192">
      <c r="A192" s="52" t="n"/>
      <c r="B192" s="51">
        <f>IF(A192="","",G191)</f>
        <v/>
      </c>
      <c r="C192" s="51">
        <f>IF(A192="","",SUMIFS('Daily Sales Log'!$J:$J,'Daily Sales Log'!$A:$A,A192))</f>
        <v/>
      </c>
      <c r="D192" s="51">
        <f>IF(A192="","",SUMIFS('Credit Sales Tracker'!$H:$H,'Credit Sales Tracker'!$I:$I,A192))</f>
        <v/>
      </c>
      <c r="E192" s="51">
        <f>IF(A192="","",SUMIFS('Daily Expenses Log'!$E:$E,'Daily Expenses Log'!$A:$A,A192))</f>
        <v/>
      </c>
      <c r="F192" s="51">
        <f>IF(A192="","",SUMIFS('Creditors Tracker'!$F:$F,'Creditors Tracker'!$G:$G,A192))</f>
        <v/>
      </c>
      <c r="G192" s="51">
        <f>IF(A192="","",B192+C192+D192-E192-F192)</f>
        <v/>
      </c>
      <c r="H192" s="51">
        <f>IF(A192="","",SUM('Stock Master'!$J$2:$J$49))</f>
        <v/>
      </c>
      <c r="I192" s="51">
        <f>IF(A192="","",SUM('Credit Sales Tracker'!$J$2:$J$501))</f>
        <v/>
      </c>
      <c r="J192" s="51">
        <f>IF(A192="","",SUM('Creditors Tracker'!$H$2:$H$501))</f>
        <v/>
      </c>
      <c r="K192" s="49" t="n"/>
    </row>
    <row r="193">
      <c r="A193" s="52" t="n"/>
      <c r="B193" s="51">
        <f>IF(A193="","",G192)</f>
        <v/>
      </c>
      <c r="C193" s="51">
        <f>IF(A193="","",SUMIFS('Daily Sales Log'!$J:$J,'Daily Sales Log'!$A:$A,A193))</f>
        <v/>
      </c>
      <c r="D193" s="51">
        <f>IF(A193="","",SUMIFS('Credit Sales Tracker'!$H:$H,'Credit Sales Tracker'!$I:$I,A193))</f>
        <v/>
      </c>
      <c r="E193" s="51">
        <f>IF(A193="","",SUMIFS('Daily Expenses Log'!$E:$E,'Daily Expenses Log'!$A:$A,A193))</f>
        <v/>
      </c>
      <c r="F193" s="51">
        <f>IF(A193="","",SUMIFS('Creditors Tracker'!$F:$F,'Creditors Tracker'!$G:$G,A193))</f>
        <v/>
      </c>
      <c r="G193" s="51">
        <f>IF(A193="","",B193+C193+D193-E193-F193)</f>
        <v/>
      </c>
      <c r="H193" s="51">
        <f>IF(A193="","",SUM('Stock Master'!$J$2:$J$49))</f>
        <v/>
      </c>
      <c r="I193" s="51">
        <f>IF(A193="","",SUM('Credit Sales Tracker'!$J$2:$J$501))</f>
        <v/>
      </c>
      <c r="J193" s="51">
        <f>IF(A193="","",SUM('Creditors Tracker'!$H$2:$H$501))</f>
        <v/>
      </c>
      <c r="K193" s="49" t="n"/>
    </row>
    <row r="194">
      <c r="A194" s="52" t="n"/>
      <c r="B194" s="51">
        <f>IF(A194="","",G193)</f>
        <v/>
      </c>
      <c r="C194" s="51">
        <f>IF(A194="","",SUMIFS('Daily Sales Log'!$J:$J,'Daily Sales Log'!$A:$A,A194))</f>
        <v/>
      </c>
      <c r="D194" s="51">
        <f>IF(A194="","",SUMIFS('Credit Sales Tracker'!$H:$H,'Credit Sales Tracker'!$I:$I,A194))</f>
        <v/>
      </c>
      <c r="E194" s="51">
        <f>IF(A194="","",SUMIFS('Daily Expenses Log'!$E:$E,'Daily Expenses Log'!$A:$A,A194))</f>
        <v/>
      </c>
      <c r="F194" s="51">
        <f>IF(A194="","",SUMIFS('Creditors Tracker'!$F:$F,'Creditors Tracker'!$G:$G,A194))</f>
        <v/>
      </c>
      <c r="G194" s="51">
        <f>IF(A194="","",B194+C194+D194-E194-F194)</f>
        <v/>
      </c>
      <c r="H194" s="51">
        <f>IF(A194="","",SUM('Stock Master'!$J$2:$J$49))</f>
        <v/>
      </c>
      <c r="I194" s="51">
        <f>IF(A194="","",SUM('Credit Sales Tracker'!$J$2:$J$501))</f>
        <v/>
      </c>
      <c r="J194" s="51">
        <f>IF(A194="","",SUM('Creditors Tracker'!$H$2:$H$501))</f>
        <v/>
      </c>
      <c r="K194" s="49" t="n"/>
    </row>
    <row r="195">
      <c r="A195" s="52" t="n"/>
      <c r="B195" s="51">
        <f>IF(A195="","",G194)</f>
        <v/>
      </c>
      <c r="C195" s="51">
        <f>IF(A195="","",SUMIFS('Daily Sales Log'!$J:$J,'Daily Sales Log'!$A:$A,A195))</f>
        <v/>
      </c>
      <c r="D195" s="51">
        <f>IF(A195="","",SUMIFS('Credit Sales Tracker'!$H:$H,'Credit Sales Tracker'!$I:$I,A195))</f>
        <v/>
      </c>
      <c r="E195" s="51">
        <f>IF(A195="","",SUMIFS('Daily Expenses Log'!$E:$E,'Daily Expenses Log'!$A:$A,A195))</f>
        <v/>
      </c>
      <c r="F195" s="51">
        <f>IF(A195="","",SUMIFS('Creditors Tracker'!$F:$F,'Creditors Tracker'!$G:$G,A195))</f>
        <v/>
      </c>
      <c r="G195" s="51">
        <f>IF(A195="","",B195+C195+D195-E195-F195)</f>
        <v/>
      </c>
      <c r="H195" s="51">
        <f>IF(A195="","",SUM('Stock Master'!$J$2:$J$49))</f>
        <v/>
      </c>
      <c r="I195" s="51">
        <f>IF(A195="","",SUM('Credit Sales Tracker'!$J$2:$J$501))</f>
        <v/>
      </c>
      <c r="J195" s="51">
        <f>IF(A195="","",SUM('Creditors Tracker'!$H$2:$H$501))</f>
        <v/>
      </c>
      <c r="K195" s="49" t="n"/>
    </row>
    <row r="196">
      <c r="A196" s="52" t="n"/>
      <c r="B196" s="51">
        <f>IF(A196="","",G195)</f>
        <v/>
      </c>
      <c r="C196" s="51">
        <f>IF(A196="","",SUMIFS('Daily Sales Log'!$J:$J,'Daily Sales Log'!$A:$A,A196))</f>
        <v/>
      </c>
      <c r="D196" s="51">
        <f>IF(A196="","",SUMIFS('Credit Sales Tracker'!$H:$H,'Credit Sales Tracker'!$I:$I,A196))</f>
        <v/>
      </c>
      <c r="E196" s="51">
        <f>IF(A196="","",SUMIFS('Daily Expenses Log'!$E:$E,'Daily Expenses Log'!$A:$A,A196))</f>
        <v/>
      </c>
      <c r="F196" s="51">
        <f>IF(A196="","",SUMIFS('Creditors Tracker'!$F:$F,'Creditors Tracker'!$G:$G,A196))</f>
        <v/>
      </c>
      <c r="G196" s="51">
        <f>IF(A196="","",B196+C196+D196-E196-F196)</f>
        <v/>
      </c>
      <c r="H196" s="51">
        <f>IF(A196="","",SUM('Stock Master'!$J$2:$J$49))</f>
        <v/>
      </c>
      <c r="I196" s="51">
        <f>IF(A196="","",SUM('Credit Sales Tracker'!$J$2:$J$501))</f>
        <v/>
      </c>
      <c r="J196" s="51">
        <f>IF(A196="","",SUM('Creditors Tracker'!$H$2:$H$501))</f>
        <v/>
      </c>
      <c r="K196" s="49" t="n"/>
    </row>
    <row r="197">
      <c r="A197" s="52" t="n"/>
      <c r="B197" s="51">
        <f>IF(A197="","",G196)</f>
        <v/>
      </c>
      <c r="C197" s="51">
        <f>IF(A197="","",SUMIFS('Daily Sales Log'!$J:$J,'Daily Sales Log'!$A:$A,A197))</f>
        <v/>
      </c>
      <c r="D197" s="51">
        <f>IF(A197="","",SUMIFS('Credit Sales Tracker'!$H:$H,'Credit Sales Tracker'!$I:$I,A197))</f>
        <v/>
      </c>
      <c r="E197" s="51">
        <f>IF(A197="","",SUMIFS('Daily Expenses Log'!$E:$E,'Daily Expenses Log'!$A:$A,A197))</f>
        <v/>
      </c>
      <c r="F197" s="51">
        <f>IF(A197="","",SUMIFS('Creditors Tracker'!$F:$F,'Creditors Tracker'!$G:$G,A197))</f>
        <v/>
      </c>
      <c r="G197" s="51">
        <f>IF(A197="","",B197+C197+D197-E197-F197)</f>
        <v/>
      </c>
      <c r="H197" s="51">
        <f>IF(A197="","",SUM('Stock Master'!$J$2:$J$49))</f>
        <v/>
      </c>
      <c r="I197" s="51">
        <f>IF(A197="","",SUM('Credit Sales Tracker'!$J$2:$J$501))</f>
        <v/>
      </c>
      <c r="J197" s="51">
        <f>IF(A197="","",SUM('Creditors Tracker'!$H$2:$H$501))</f>
        <v/>
      </c>
      <c r="K197" s="49" t="n"/>
    </row>
    <row r="198">
      <c r="A198" s="52" t="n"/>
      <c r="B198" s="51">
        <f>IF(A198="","",G197)</f>
        <v/>
      </c>
      <c r="C198" s="51">
        <f>IF(A198="","",SUMIFS('Daily Sales Log'!$J:$J,'Daily Sales Log'!$A:$A,A198))</f>
        <v/>
      </c>
      <c r="D198" s="51">
        <f>IF(A198="","",SUMIFS('Credit Sales Tracker'!$H:$H,'Credit Sales Tracker'!$I:$I,A198))</f>
        <v/>
      </c>
      <c r="E198" s="51">
        <f>IF(A198="","",SUMIFS('Daily Expenses Log'!$E:$E,'Daily Expenses Log'!$A:$A,A198))</f>
        <v/>
      </c>
      <c r="F198" s="51">
        <f>IF(A198="","",SUMIFS('Creditors Tracker'!$F:$F,'Creditors Tracker'!$G:$G,A198))</f>
        <v/>
      </c>
      <c r="G198" s="51">
        <f>IF(A198="","",B198+C198+D198-E198-F198)</f>
        <v/>
      </c>
      <c r="H198" s="51">
        <f>IF(A198="","",SUM('Stock Master'!$J$2:$J$49))</f>
        <v/>
      </c>
      <c r="I198" s="51">
        <f>IF(A198="","",SUM('Credit Sales Tracker'!$J$2:$J$501))</f>
        <v/>
      </c>
      <c r="J198" s="51">
        <f>IF(A198="","",SUM('Creditors Tracker'!$H$2:$H$501))</f>
        <v/>
      </c>
      <c r="K198" s="49" t="n"/>
    </row>
    <row r="199">
      <c r="A199" s="52" t="n"/>
      <c r="B199" s="51">
        <f>IF(A199="","",G198)</f>
        <v/>
      </c>
      <c r="C199" s="51">
        <f>IF(A199="","",SUMIFS('Daily Sales Log'!$J:$J,'Daily Sales Log'!$A:$A,A199))</f>
        <v/>
      </c>
      <c r="D199" s="51">
        <f>IF(A199="","",SUMIFS('Credit Sales Tracker'!$H:$H,'Credit Sales Tracker'!$I:$I,A199))</f>
        <v/>
      </c>
      <c r="E199" s="51">
        <f>IF(A199="","",SUMIFS('Daily Expenses Log'!$E:$E,'Daily Expenses Log'!$A:$A,A199))</f>
        <v/>
      </c>
      <c r="F199" s="51">
        <f>IF(A199="","",SUMIFS('Creditors Tracker'!$F:$F,'Creditors Tracker'!$G:$G,A199))</f>
        <v/>
      </c>
      <c r="G199" s="51">
        <f>IF(A199="","",B199+C199+D199-E199-F199)</f>
        <v/>
      </c>
      <c r="H199" s="51">
        <f>IF(A199="","",SUM('Stock Master'!$J$2:$J$49))</f>
        <v/>
      </c>
      <c r="I199" s="51">
        <f>IF(A199="","",SUM('Credit Sales Tracker'!$J$2:$J$501))</f>
        <v/>
      </c>
      <c r="J199" s="51">
        <f>IF(A199="","",SUM('Creditors Tracker'!$H$2:$H$501))</f>
        <v/>
      </c>
      <c r="K199" s="49" t="n"/>
    </row>
    <row r="200">
      <c r="A200" s="52" t="n"/>
      <c r="B200" s="51">
        <f>IF(A200="","",G199)</f>
        <v/>
      </c>
      <c r="C200" s="51">
        <f>IF(A200="","",SUMIFS('Daily Sales Log'!$J:$J,'Daily Sales Log'!$A:$A,A200))</f>
        <v/>
      </c>
      <c r="D200" s="51">
        <f>IF(A200="","",SUMIFS('Credit Sales Tracker'!$H:$H,'Credit Sales Tracker'!$I:$I,A200))</f>
        <v/>
      </c>
      <c r="E200" s="51">
        <f>IF(A200="","",SUMIFS('Daily Expenses Log'!$E:$E,'Daily Expenses Log'!$A:$A,A200))</f>
        <v/>
      </c>
      <c r="F200" s="51">
        <f>IF(A200="","",SUMIFS('Creditors Tracker'!$F:$F,'Creditors Tracker'!$G:$G,A200))</f>
        <v/>
      </c>
      <c r="G200" s="51">
        <f>IF(A200="","",B200+C200+D200-E200-F200)</f>
        <v/>
      </c>
      <c r="H200" s="51">
        <f>IF(A200="","",SUM('Stock Master'!$J$2:$J$49))</f>
        <v/>
      </c>
      <c r="I200" s="51">
        <f>IF(A200="","",SUM('Credit Sales Tracker'!$J$2:$J$501))</f>
        <v/>
      </c>
      <c r="J200" s="51">
        <f>IF(A200="","",SUM('Creditors Tracker'!$H$2:$H$501))</f>
        <v/>
      </c>
      <c r="K200" s="49" t="n"/>
    </row>
    <row r="201">
      <c r="A201" s="52" t="n"/>
      <c r="B201" s="51">
        <f>IF(A201="","",G200)</f>
        <v/>
      </c>
      <c r="C201" s="51">
        <f>IF(A201="","",SUMIFS('Daily Sales Log'!$J:$J,'Daily Sales Log'!$A:$A,A201))</f>
        <v/>
      </c>
      <c r="D201" s="51">
        <f>IF(A201="","",SUMIFS('Credit Sales Tracker'!$H:$H,'Credit Sales Tracker'!$I:$I,A201))</f>
        <v/>
      </c>
      <c r="E201" s="51">
        <f>IF(A201="","",SUMIFS('Daily Expenses Log'!$E:$E,'Daily Expenses Log'!$A:$A,A201))</f>
        <v/>
      </c>
      <c r="F201" s="51">
        <f>IF(A201="","",SUMIFS('Creditors Tracker'!$F:$F,'Creditors Tracker'!$G:$G,A201))</f>
        <v/>
      </c>
      <c r="G201" s="51">
        <f>IF(A201="","",B201+C201+D201-E201-F201)</f>
        <v/>
      </c>
      <c r="H201" s="51">
        <f>IF(A201="","",SUM('Stock Master'!$J$2:$J$49))</f>
        <v/>
      </c>
      <c r="I201" s="51">
        <f>IF(A201="","",SUM('Credit Sales Tracker'!$J$2:$J$501))</f>
        <v/>
      </c>
      <c r="J201" s="51">
        <f>IF(A201="","",SUM('Creditors Tracker'!$H$2:$H$501))</f>
        <v/>
      </c>
      <c r="K201" s="49" t="n"/>
    </row>
    <row r="202">
      <c r="A202" s="52" t="n"/>
      <c r="B202" s="51">
        <f>IF(A202="","",G201)</f>
        <v/>
      </c>
      <c r="C202" s="51">
        <f>IF(A202="","",SUMIFS('Daily Sales Log'!$J:$J,'Daily Sales Log'!$A:$A,A202))</f>
        <v/>
      </c>
      <c r="D202" s="51">
        <f>IF(A202="","",SUMIFS('Credit Sales Tracker'!$H:$H,'Credit Sales Tracker'!$I:$I,A202))</f>
        <v/>
      </c>
      <c r="E202" s="51">
        <f>IF(A202="","",SUMIFS('Daily Expenses Log'!$E:$E,'Daily Expenses Log'!$A:$A,A202))</f>
        <v/>
      </c>
      <c r="F202" s="51">
        <f>IF(A202="","",SUMIFS('Creditors Tracker'!$F:$F,'Creditors Tracker'!$G:$G,A202))</f>
        <v/>
      </c>
      <c r="G202" s="51">
        <f>IF(A202="","",B202+C202+D202-E202-F202)</f>
        <v/>
      </c>
      <c r="H202" s="51">
        <f>IF(A202="","",SUM('Stock Master'!$J$2:$J$49))</f>
        <v/>
      </c>
      <c r="I202" s="51">
        <f>IF(A202="","",SUM('Credit Sales Tracker'!$J$2:$J$501))</f>
        <v/>
      </c>
      <c r="J202" s="51">
        <f>IF(A202="","",SUM('Creditors Tracker'!$H$2:$H$501))</f>
        <v/>
      </c>
      <c r="K202" s="49" t="n"/>
    </row>
    <row r="203">
      <c r="A203" s="52" t="n"/>
      <c r="B203" s="51">
        <f>IF(A203="","",G202)</f>
        <v/>
      </c>
      <c r="C203" s="51">
        <f>IF(A203="","",SUMIFS('Daily Sales Log'!$J:$J,'Daily Sales Log'!$A:$A,A203))</f>
        <v/>
      </c>
      <c r="D203" s="51">
        <f>IF(A203="","",SUMIFS('Credit Sales Tracker'!$H:$H,'Credit Sales Tracker'!$I:$I,A203))</f>
        <v/>
      </c>
      <c r="E203" s="51">
        <f>IF(A203="","",SUMIFS('Daily Expenses Log'!$E:$E,'Daily Expenses Log'!$A:$A,A203))</f>
        <v/>
      </c>
      <c r="F203" s="51">
        <f>IF(A203="","",SUMIFS('Creditors Tracker'!$F:$F,'Creditors Tracker'!$G:$G,A203))</f>
        <v/>
      </c>
      <c r="G203" s="51">
        <f>IF(A203="","",B203+C203+D203-E203-F203)</f>
        <v/>
      </c>
      <c r="H203" s="51">
        <f>IF(A203="","",SUM('Stock Master'!$J$2:$J$49))</f>
        <v/>
      </c>
      <c r="I203" s="51">
        <f>IF(A203="","",SUM('Credit Sales Tracker'!$J$2:$J$501))</f>
        <v/>
      </c>
      <c r="J203" s="51">
        <f>IF(A203="","",SUM('Creditors Tracker'!$H$2:$H$501))</f>
        <v/>
      </c>
      <c r="K203" s="49" t="n"/>
    </row>
    <row r="204">
      <c r="A204" s="52" t="n"/>
      <c r="B204" s="51">
        <f>IF(A204="","",G203)</f>
        <v/>
      </c>
      <c r="C204" s="51">
        <f>IF(A204="","",SUMIFS('Daily Sales Log'!$J:$J,'Daily Sales Log'!$A:$A,A204))</f>
        <v/>
      </c>
      <c r="D204" s="51">
        <f>IF(A204="","",SUMIFS('Credit Sales Tracker'!$H:$H,'Credit Sales Tracker'!$I:$I,A204))</f>
        <v/>
      </c>
      <c r="E204" s="51">
        <f>IF(A204="","",SUMIFS('Daily Expenses Log'!$E:$E,'Daily Expenses Log'!$A:$A,A204))</f>
        <v/>
      </c>
      <c r="F204" s="51">
        <f>IF(A204="","",SUMIFS('Creditors Tracker'!$F:$F,'Creditors Tracker'!$G:$G,A204))</f>
        <v/>
      </c>
      <c r="G204" s="51">
        <f>IF(A204="","",B204+C204+D204-E204-F204)</f>
        <v/>
      </c>
      <c r="H204" s="51">
        <f>IF(A204="","",SUM('Stock Master'!$J$2:$J$49))</f>
        <v/>
      </c>
      <c r="I204" s="51">
        <f>IF(A204="","",SUM('Credit Sales Tracker'!$J$2:$J$501))</f>
        <v/>
      </c>
      <c r="J204" s="51">
        <f>IF(A204="","",SUM('Creditors Tracker'!$H$2:$H$501))</f>
        <v/>
      </c>
      <c r="K204" s="49" t="n"/>
    </row>
    <row r="205">
      <c r="A205" s="52" t="n"/>
      <c r="B205" s="51">
        <f>IF(A205="","",G204)</f>
        <v/>
      </c>
      <c r="C205" s="51">
        <f>IF(A205="","",SUMIFS('Daily Sales Log'!$J:$J,'Daily Sales Log'!$A:$A,A205))</f>
        <v/>
      </c>
      <c r="D205" s="51">
        <f>IF(A205="","",SUMIFS('Credit Sales Tracker'!$H:$H,'Credit Sales Tracker'!$I:$I,A205))</f>
        <v/>
      </c>
      <c r="E205" s="51">
        <f>IF(A205="","",SUMIFS('Daily Expenses Log'!$E:$E,'Daily Expenses Log'!$A:$A,A205))</f>
        <v/>
      </c>
      <c r="F205" s="51">
        <f>IF(A205="","",SUMIFS('Creditors Tracker'!$F:$F,'Creditors Tracker'!$G:$G,A205))</f>
        <v/>
      </c>
      <c r="G205" s="51">
        <f>IF(A205="","",B205+C205+D205-E205-F205)</f>
        <v/>
      </c>
      <c r="H205" s="51">
        <f>IF(A205="","",SUM('Stock Master'!$J$2:$J$49))</f>
        <v/>
      </c>
      <c r="I205" s="51">
        <f>IF(A205="","",SUM('Credit Sales Tracker'!$J$2:$J$501))</f>
        <v/>
      </c>
      <c r="J205" s="51">
        <f>IF(A205="","",SUM('Creditors Tracker'!$H$2:$H$501))</f>
        <v/>
      </c>
      <c r="K205" s="49" t="n"/>
    </row>
    <row r="206">
      <c r="A206" s="52" t="n"/>
      <c r="B206" s="51">
        <f>IF(A206="","",G205)</f>
        <v/>
      </c>
      <c r="C206" s="51">
        <f>IF(A206="","",SUMIFS('Daily Sales Log'!$J:$J,'Daily Sales Log'!$A:$A,A206))</f>
        <v/>
      </c>
      <c r="D206" s="51">
        <f>IF(A206="","",SUMIFS('Credit Sales Tracker'!$H:$H,'Credit Sales Tracker'!$I:$I,A206))</f>
        <v/>
      </c>
      <c r="E206" s="51">
        <f>IF(A206="","",SUMIFS('Daily Expenses Log'!$E:$E,'Daily Expenses Log'!$A:$A,A206))</f>
        <v/>
      </c>
      <c r="F206" s="51">
        <f>IF(A206="","",SUMIFS('Creditors Tracker'!$F:$F,'Creditors Tracker'!$G:$G,A206))</f>
        <v/>
      </c>
      <c r="G206" s="51">
        <f>IF(A206="","",B206+C206+D206-E206-F206)</f>
        <v/>
      </c>
      <c r="H206" s="51">
        <f>IF(A206="","",SUM('Stock Master'!$J$2:$J$49))</f>
        <v/>
      </c>
      <c r="I206" s="51">
        <f>IF(A206="","",SUM('Credit Sales Tracker'!$J$2:$J$501))</f>
        <v/>
      </c>
      <c r="J206" s="51">
        <f>IF(A206="","",SUM('Creditors Tracker'!$H$2:$H$501))</f>
        <v/>
      </c>
      <c r="K206" s="49" t="n"/>
    </row>
    <row r="207">
      <c r="A207" s="52" t="n"/>
      <c r="B207" s="51">
        <f>IF(A207="","",G206)</f>
        <v/>
      </c>
      <c r="C207" s="51">
        <f>IF(A207="","",SUMIFS('Daily Sales Log'!$J:$J,'Daily Sales Log'!$A:$A,A207))</f>
        <v/>
      </c>
      <c r="D207" s="51">
        <f>IF(A207="","",SUMIFS('Credit Sales Tracker'!$H:$H,'Credit Sales Tracker'!$I:$I,A207))</f>
        <v/>
      </c>
      <c r="E207" s="51">
        <f>IF(A207="","",SUMIFS('Daily Expenses Log'!$E:$E,'Daily Expenses Log'!$A:$A,A207))</f>
        <v/>
      </c>
      <c r="F207" s="51">
        <f>IF(A207="","",SUMIFS('Creditors Tracker'!$F:$F,'Creditors Tracker'!$G:$G,A207))</f>
        <v/>
      </c>
      <c r="G207" s="51">
        <f>IF(A207="","",B207+C207+D207-E207-F207)</f>
        <v/>
      </c>
      <c r="H207" s="51">
        <f>IF(A207="","",SUM('Stock Master'!$J$2:$J$49))</f>
        <v/>
      </c>
      <c r="I207" s="51">
        <f>IF(A207="","",SUM('Credit Sales Tracker'!$J$2:$J$501))</f>
        <v/>
      </c>
      <c r="J207" s="51">
        <f>IF(A207="","",SUM('Creditors Tracker'!$H$2:$H$501))</f>
        <v/>
      </c>
      <c r="K207" s="49" t="n"/>
    </row>
    <row r="208">
      <c r="A208" s="52" t="n"/>
      <c r="B208" s="51">
        <f>IF(A208="","",G207)</f>
        <v/>
      </c>
      <c r="C208" s="51">
        <f>IF(A208="","",SUMIFS('Daily Sales Log'!$J:$J,'Daily Sales Log'!$A:$A,A208))</f>
        <v/>
      </c>
      <c r="D208" s="51">
        <f>IF(A208="","",SUMIFS('Credit Sales Tracker'!$H:$H,'Credit Sales Tracker'!$I:$I,A208))</f>
        <v/>
      </c>
      <c r="E208" s="51">
        <f>IF(A208="","",SUMIFS('Daily Expenses Log'!$E:$E,'Daily Expenses Log'!$A:$A,A208))</f>
        <v/>
      </c>
      <c r="F208" s="51">
        <f>IF(A208="","",SUMIFS('Creditors Tracker'!$F:$F,'Creditors Tracker'!$G:$G,A208))</f>
        <v/>
      </c>
      <c r="G208" s="51">
        <f>IF(A208="","",B208+C208+D208-E208-F208)</f>
        <v/>
      </c>
      <c r="H208" s="51">
        <f>IF(A208="","",SUM('Stock Master'!$J$2:$J$49))</f>
        <v/>
      </c>
      <c r="I208" s="51">
        <f>IF(A208="","",SUM('Credit Sales Tracker'!$J$2:$J$501))</f>
        <v/>
      </c>
      <c r="J208" s="51">
        <f>IF(A208="","",SUM('Creditors Tracker'!$H$2:$H$501))</f>
        <v/>
      </c>
      <c r="K208" s="49" t="n"/>
    </row>
    <row r="209">
      <c r="A209" s="52" t="n"/>
      <c r="B209" s="51">
        <f>IF(A209="","",G208)</f>
        <v/>
      </c>
      <c r="C209" s="51">
        <f>IF(A209="","",SUMIFS('Daily Sales Log'!$J:$J,'Daily Sales Log'!$A:$A,A209))</f>
        <v/>
      </c>
      <c r="D209" s="51">
        <f>IF(A209="","",SUMIFS('Credit Sales Tracker'!$H:$H,'Credit Sales Tracker'!$I:$I,A209))</f>
        <v/>
      </c>
      <c r="E209" s="51">
        <f>IF(A209="","",SUMIFS('Daily Expenses Log'!$E:$E,'Daily Expenses Log'!$A:$A,A209))</f>
        <v/>
      </c>
      <c r="F209" s="51">
        <f>IF(A209="","",SUMIFS('Creditors Tracker'!$F:$F,'Creditors Tracker'!$G:$G,A209))</f>
        <v/>
      </c>
      <c r="G209" s="51">
        <f>IF(A209="","",B209+C209+D209-E209-F209)</f>
        <v/>
      </c>
      <c r="H209" s="51">
        <f>IF(A209="","",SUM('Stock Master'!$J$2:$J$49))</f>
        <v/>
      </c>
      <c r="I209" s="51">
        <f>IF(A209="","",SUM('Credit Sales Tracker'!$J$2:$J$501))</f>
        <v/>
      </c>
      <c r="J209" s="51">
        <f>IF(A209="","",SUM('Creditors Tracker'!$H$2:$H$501))</f>
        <v/>
      </c>
      <c r="K209" s="49" t="n"/>
    </row>
    <row r="210">
      <c r="A210" s="52" t="n"/>
      <c r="B210" s="51">
        <f>IF(A210="","",G209)</f>
        <v/>
      </c>
      <c r="C210" s="51">
        <f>IF(A210="","",SUMIFS('Daily Sales Log'!$J:$J,'Daily Sales Log'!$A:$A,A210))</f>
        <v/>
      </c>
      <c r="D210" s="51">
        <f>IF(A210="","",SUMIFS('Credit Sales Tracker'!$H:$H,'Credit Sales Tracker'!$I:$I,A210))</f>
        <v/>
      </c>
      <c r="E210" s="51">
        <f>IF(A210="","",SUMIFS('Daily Expenses Log'!$E:$E,'Daily Expenses Log'!$A:$A,A210))</f>
        <v/>
      </c>
      <c r="F210" s="51">
        <f>IF(A210="","",SUMIFS('Creditors Tracker'!$F:$F,'Creditors Tracker'!$G:$G,A210))</f>
        <v/>
      </c>
      <c r="G210" s="51">
        <f>IF(A210="","",B210+C210+D210-E210-F210)</f>
        <v/>
      </c>
      <c r="H210" s="51">
        <f>IF(A210="","",SUM('Stock Master'!$J$2:$J$49))</f>
        <v/>
      </c>
      <c r="I210" s="51">
        <f>IF(A210="","",SUM('Credit Sales Tracker'!$J$2:$J$501))</f>
        <v/>
      </c>
      <c r="J210" s="51">
        <f>IF(A210="","",SUM('Creditors Tracker'!$H$2:$H$501))</f>
        <v/>
      </c>
      <c r="K210" s="49" t="n"/>
    </row>
    <row r="211">
      <c r="A211" s="52" t="n"/>
      <c r="B211" s="51">
        <f>IF(A211="","",G210)</f>
        <v/>
      </c>
      <c r="C211" s="51">
        <f>IF(A211="","",SUMIFS('Daily Sales Log'!$J:$J,'Daily Sales Log'!$A:$A,A211))</f>
        <v/>
      </c>
      <c r="D211" s="51">
        <f>IF(A211="","",SUMIFS('Credit Sales Tracker'!$H:$H,'Credit Sales Tracker'!$I:$I,A211))</f>
        <v/>
      </c>
      <c r="E211" s="51">
        <f>IF(A211="","",SUMIFS('Daily Expenses Log'!$E:$E,'Daily Expenses Log'!$A:$A,A211))</f>
        <v/>
      </c>
      <c r="F211" s="51">
        <f>IF(A211="","",SUMIFS('Creditors Tracker'!$F:$F,'Creditors Tracker'!$G:$G,A211))</f>
        <v/>
      </c>
      <c r="G211" s="51">
        <f>IF(A211="","",B211+C211+D211-E211-F211)</f>
        <v/>
      </c>
      <c r="H211" s="51">
        <f>IF(A211="","",SUM('Stock Master'!$J$2:$J$49))</f>
        <v/>
      </c>
      <c r="I211" s="51">
        <f>IF(A211="","",SUM('Credit Sales Tracker'!$J$2:$J$501))</f>
        <v/>
      </c>
      <c r="J211" s="51">
        <f>IF(A211="","",SUM('Creditors Tracker'!$H$2:$H$501))</f>
        <v/>
      </c>
      <c r="K211" s="49" t="n"/>
    </row>
    <row r="212">
      <c r="A212" s="52" t="n"/>
      <c r="B212" s="51">
        <f>IF(A212="","",G211)</f>
        <v/>
      </c>
      <c r="C212" s="51">
        <f>IF(A212="","",SUMIFS('Daily Sales Log'!$J:$J,'Daily Sales Log'!$A:$A,A212))</f>
        <v/>
      </c>
      <c r="D212" s="51">
        <f>IF(A212="","",SUMIFS('Credit Sales Tracker'!$H:$H,'Credit Sales Tracker'!$I:$I,A212))</f>
        <v/>
      </c>
      <c r="E212" s="51">
        <f>IF(A212="","",SUMIFS('Daily Expenses Log'!$E:$E,'Daily Expenses Log'!$A:$A,A212))</f>
        <v/>
      </c>
      <c r="F212" s="51">
        <f>IF(A212="","",SUMIFS('Creditors Tracker'!$F:$F,'Creditors Tracker'!$G:$G,A212))</f>
        <v/>
      </c>
      <c r="G212" s="51">
        <f>IF(A212="","",B212+C212+D212-E212-F212)</f>
        <v/>
      </c>
      <c r="H212" s="51">
        <f>IF(A212="","",SUM('Stock Master'!$J$2:$J$49))</f>
        <v/>
      </c>
      <c r="I212" s="51">
        <f>IF(A212="","",SUM('Credit Sales Tracker'!$J$2:$J$501))</f>
        <v/>
      </c>
      <c r="J212" s="51">
        <f>IF(A212="","",SUM('Creditors Tracker'!$H$2:$H$501))</f>
        <v/>
      </c>
      <c r="K212" s="49" t="n"/>
    </row>
    <row r="213">
      <c r="A213" s="52" t="n"/>
      <c r="B213" s="51">
        <f>IF(A213="","",G212)</f>
        <v/>
      </c>
      <c r="C213" s="51">
        <f>IF(A213="","",SUMIFS('Daily Sales Log'!$J:$J,'Daily Sales Log'!$A:$A,A213))</f>
        <v/>
      </c>
      <c r="D213" s="51">
        <f>IF(A213="","",SUMIFS('Credit Sales Tracker'!$H:$H,'Credit Sales Tracker'!$I:$I,A213))</f>
        <v/>
      </c>
      <c r="E213" s="51">
        <f>IF(A213="","",SUMIFS('Daily Expenses Log'!$E:$E,'Daily Expenses Log'!$A:$A,A213))</f>
        <v/>
      </c>
      <c r="F213" s="51">
        <f>IF(A213="","",SUMIFS('Creditors Tracker'!$F:$F,'Creditors Tracker'!$G:$G,A213))</f>
        <v/>
      </c>
      <c r="G213" s="51">
        <f>IF(A213="","",B213+C213+D213-E213-F213)</f>
        <v/>
      </c>
      <c r="H213" s="51">
        <f>IF(A213="","",SUM('Stock Master'!$J$2:$J$49))</f>
        <v/>
      </c>
      <c r="I213" s="51">
        <f>IF(A213="","",SUM('Credit Sales Tracker'!$J$2:$J$501))</f>
        <v/>
      </c>
      <c r="J213" s="51">
        <f>IF(A213="","",SUM('Creditors Tracker'!$H$2:$H$501))</f>
        <v/>
      </c>
      <c r="K213" s="49" t="n"/>
    </row>
    <row r="214">
      <c r="A214" s="52" t="n"/>
      <c r="B214" s="51">
        <f>IF(A214="","",G213)</f>
        <v/>
      </c>
      <c r="C214" s="51">
        <f>IF(A214="","",SUMIFS('Daily Sales Log'!$J:$J,'Daily Sales Log'!$A:$A,A214))</f>
        <v/>
      </c>
      <c r="D214" s="51">
        <f>IF(A214="","",SUMIFS('Credit Sales Tracker'!$H:$H,'Credit Sales Tracker'!$I:$I,A214))</f>
        <v/>
      </c>
      <c r="E214" s="51">
        <f>IF(A214="","",SUMIFS('Daily Expenses Log'!$E:$E,'Daily Expenses Log'!$A:$A,A214))</f>
        <v/>
      </c>
      <c r="F214" s="51">
        <f>IF(A214="","",SUMIFS('Creditors Tracker'!$F:$F,'Creditors Tracker'!$G:$G,A214))</f>
        <v/>
      </c>
      <c r="G214" s="51">
        <f>IF(A214="","",B214+C214+D214-E214-F214)</f>
        <v/>
      </c>
      <c r="H214" s="51">
        <f>IF(A214="","",SUM('Stock Master'!$J$2:$J$49))</f>
        <v/>
      </c>
      <c r="I214" s="51">
        <f>IF(A214="","",SUM('Credit Sales Tracker'!$J$2:$J$501))</f>
        <v/>
      </c>
      <c r="J214" s="51">
        <f>IF(A214="","",SUM('Creditors Tracker'!$H$2:$H$501))</f>
        <v/>
      </c>
      <c r="K214" s="49" t="n"/>
    </row>
    <row r="215">
      <c r="A215" s="52" t="n"/>
      <c r="B215" s="51">
        <f>IF(A215="","",G214)</f>
        <v/>
      </c>
      <c r="C215" s="51">
        <f>IF(A215="","",SUMIFS('Daily Sales Log'!$J:$J,'Daily Sales Log'!$A:$A,A215))</f>
        <v/>
      </c>
      <c r="D215" s="51">
        <f>IF(A215="","",SUMIFS('Credit Sales Tracker'!$H:$H,'Credit Sales Tracker'!$I:$I,A215))</f>
        <v/>
      </c>
      <c r="E215" s="51">
        <f>IF(A215="","",SUMIFS('Daily Expenses Log'!$E:$E,'Daily Expenses Log'!$A:$A,A215))</f>
        <v/>
      </c>
      <c r="F215" s="51">
        <f>IF(A215="","",SUMIFS('Creditors Tracker'!$F:$F,'Creditors Tracker'!$G:$G,A215))</f>
        <v/>
      </c>
      <c r="G215" s="51">
        <f>IF(A215="","",B215+C215+D215-E215-F215)</f>
        <v/>
      </c>
      <c r="H215" s="51">
        <f>IF(A215="","",SUM('Stock Master'!$J$2:$J$49))</f>
        <v/>
      </c>
      <c r="I215" s="51">
        <f>IF(A215="","",SUM('Credit Sales Tracker'!$J$2:$J$501))</f>
        <v/>
      </c>
      <c r="J215" s="51">
        <f>IF(A215="","",SUM('Creditors Tracker'!$H$2:$H$501))</f>
        <v/>
      </c>
      <c r="K215" s="49" t="n"/>
    </row>
    <row r="216">
      <c r="A216" s="52" t="n"/>
      <c r="B216" s="51">
        <f>IF(A216="","",G215)</f>
        <v/>
      </c>
      <c r="C216" s="51">
        <f>IF(A216="","",SUMIFS('Daily Sales Log'!$J:$J,'Daily Sales Log'!$A:$A,A216))</f>
        <v/>
      </c>
      <c r="D216" s="51">
        <f>IF(A216="","",SUMIFS('Credit Sales Tracker'!$H:$H,'Credit Sales Tracker'!$I:$I,A216))</f>
        <v/>
      </c>
      <c r="E216" s="51">
        <f>IF(A216="","",SUMIFS('Daily Expenses Log'!$E:$E,'Daily Expenses Log'!$A:$A,A216))</f>
        <v/>
      </c>
      <c r="F216" s="51">
        <f>IF(A216="","",SUMIFS('Creditors Tracker'!$F:$F,'Creditors Tracker'!$G:$G,A216))</f>
        <v/>
      </c>
      <c r="G216" s="51">
        <f>IF(A216="","",B216+C216+D216-E216-F216)</f>
        <v/>
      </c>
      <c r="H216" s="51">
        <f>IF(A216="","",SUM('Stock Master'!$J$2:$J$49))</f>
        <v/>
      </c>
      <c r="I216" s="51">
        <f>IF(A216="","",SUM('Credit Sales Tracker'!$J$2:$J$501))</f>
        <v/>
      </c>
      <c r="J216" s="51">
        <f>IF(A216="","",SUM('Creditors Tracker'!$H$2:$H$501))</f>
        <v/>
      </c>
      <c r="K216" s="49" t="n"/>
    </row>
    <row r="217">
      <c r="A217" s="52" t="n"/>
      <c r="B217" s="51">
        <f>IF(A217="","",G216)</f>
        <v/>
      </c>
      <c r="C217" s="51">
        <f>IF(A217="","",SUMIFS('Daily Sales Log'!$J:$J,'Daily Sales Log'!$A:$A,A217))</f>
        <v/>
      </c>
      <c r="D217" s="51">
        <f>IF(A217="","",SUMIFS('Credit Sales Tracker'!$H:$H,'Credit Sales Tracker'!$I:$I,A217))</f>
        <v/>
      </c>
      <c r="E217" s="51">
        <f>IF(A217="","",SUMIFS('Daily Expenses Log'!$E:$E,'Daily Expenses Log'!$A:$A,A217))</f>
        <v/>
      </c>
      <c r="F217" s="51">
        <f>IF(A217="","",SUMIFS('Creditors Tracker'!$F:$F,'Creditors Tracker'!$G:$G,A217))</f>
        <v/>
      </c>
      <c r="G217" s="51">
        <f>IF(A217="","",B217+C217+D217-E217-F217)</f>
        <v/>
      </c>
      <c r="H217" s="51">
        <f>IF(A217="","",SUM('Stock Master'!$J$2:$J$49))</f>
        <v/>
      </c>
      <c r="I217" s="51">
        <f>IF(A217="","",SUM('Credit Sales Tracker'!$J$2:$J$501))</f>
        <v/>
      </c>
      <c r="J217" s="51">
        <f>IF(A217="","",SUM('Creditors Tracker'!$H$2:$H$501))</f>
        <v/>
      </c>
      <c r="K217" s="49" t="n"/>
    </row>
    <row r="218">
      <c r="A218" s="52" t="n"/>
      <c r="B218" s="51">
        <f>IF(A218="","",G217)</f>
        <v/>
      </c>
      <c r="C218" s="51">
        <f>IF(A218="","",SUMIFS('Daily Sales Log'!$J:$J,'Daily Sales Log'!$A:$A,A218))</f>
        <v/>
      </c>
      <c r="D218" s="51">
        <f>IF(A218="","",SUMIFS('Credit Sales Tracker'!$H:$H,'Credit Sales Tracker'!$I:$I,A218))</f>
        <v/>
      </c>
      <c r="E218" s="51">
        <f>IF(A218="","",SUMIFS('Daily Expenses Log'!$E:$E,'Daily Expenses Log'!$A:$A,A218))</f>
        <v/>
      </c>
      <c r="F218" s="51">
        <f>IF(A218="","",SUMIFS('Creditors Tracker'!$F:$F,'Creditors Tracker'!$G:$G,A218))</f>
        <v/>
      </c>
      <c r="G218" s="51">
        <f>IF(A218="","",B218+C218+D218-E218-F218)</f>
        <v/>
      </c>
      <c r="H218" s="51">
        <f>IF(A218="","",SUM('Stock Master'!$J$2:$J$49))</f>
        <v/>
      </c>
      <c r="I218" s="51">
        <f>IF(A218="","",SUM('Credit Sales Tracker'!$J$2:$J$501))</f>
        <v/>
      </c>
      <c r="J218" s="51">
        <f>IF(A218="","",SUM('Creditors Tracker'!$H$2:$H$501))</f>
        <v/>
      </c>
      <c r="K218" s="49" t="n"/>
    </row>
    <row r="219">
      <c r="A219" s="52" t="n"/>
      <c r="B219" s="51">
        <f>IF(A219="","",G218)</f>
        <v/>
      </c>
      <c r="C219" s="51">
        <f>IF(A219="","",SUMIFS('Daily Sales Log'!$J:$J,'Daily Sales Log'!$A:$A,A219))</f>
        <v/>
      </c>
      <c r="D219" s="51">
        <f>IF(A219="","",SUMIFS('Credit Sales Tracker'!$H:$H,'Credit Sales Tracker'!$I:$I,A219))</f>
        <v/>
      </c>
      <c r="E219" s="51">
        <f>IF(A219="","",SUMIFS('Daily Expenses Log'!$E:$E,'Daily Expenses Log'!$A:$A,A219))</f>
        <v/>
      </c>
      <c r="F219" s="51">
        <f>IF(A219="","",SUMIFS('Creditors Tracker'!$F:$F,'Creditors Tracker'!$G:$G,A219))</f>
        <v/>
      </c>
      <c r="G219" s="51">
        <f>IF(A219="","",B219+C219+D219-E219-F219)</f>
        <v/>
      </c>
      <c r="H219" s="51">
        <f>IF(A219="","",SUM('Stock Master'!$J$2:$J$49))</f>
        <v/>
      </c>
      <c r="I219" s="51">
        <f>IF(A219="","",SUM('Credit Sales Tracker'!$J$2:$J$501))</f>
        <v/>
      </c>
      <c r="J219" s="51">
        <f>IF(A219="","",SUM('Creditors Tracker'!$H$2:$H$501))</f>
        <v/>
      </c>
      <c r="K219" s="49" t="n"/>
    </row>
    <row r="220">
      <c r="A220" s="52" t="n"/>
      <c r="B220" s="51">
        <f>IF(A220="","",G219)</f>
        <v/>
      </c>
      <c r="C220" s="51">
        <f>IF(A220="","",SUMIFS('Daily Sales Log'!$J:$J,'Daily Sales Log'!$A:$A,A220))</f>
        <v/>
      </c>
      <c r="D220" s="51">
        <f>IF(A220="","",SUMIFS('Credit Sales Tracker'!$H:$H,'Credit Sales Tracker'!$I:$I,A220))</f>
        <v/>
      </c>
      <c r="E220" s="51">
        <f>IF(A220="","",SUMIFS('Daily Expenses Log'!$E:$E,'Daily Expenses Log'!$A:$A,A220))</f>
        <v/>
      </c>
      <c r="F220" s="51">
        <f>IF(A220="","",SUMIFS('Creditors Tracker'!$F:$F,'Creditors Tracker'!$G:$G,A220))</f>
        <v/>
      </c>
      <c r="G220" s="51">
        <f>IF(A220="","",B220+C220+D220-E220-F220)</f>
        <v/>
      </c>
      <c r="H220" s="51">
        <f>IF(A220="","",SUM('Stock Master'!$J$2:$J$49))</f>
        <v/>
      </c>
      <c r="I220" s="51">
        <f>IF(A220="","",SUM('Credit Sales Tracker'!$J$2:$J$501))</f>
        <v/>
      </c>
      <c r="J220" s="51">
        <f>IF(A220="","",SUM('Creditors Tracker'!$H$2:$H$501))</f>
        <v/>
      </c>
      <c r="K220" s="49" t="n"/>
    </row>
    <row r="221">
      <c r="A221" s="52" t="n"/>
      <c r="B221" s="51">
        <f>IF(A221="","",G220)</f>
        <v/>
      </c>
      <c r="C221" s="51">
        <f>IF(A221="","",SUMIFS('Daily Sales Log'!$J:$J,'Daily Sales Log'!$A:$A,A221))</f>
        <v/>
      </c>
      <c r="D221" s="51">
        <f>IF(A221="","",SUMIFS('Credit Sales Tracker'!$H:$H,'Credit Sales Tracker'!$I:$I,A221))</f>
        <v/>
      </c>
      <c r="E221" s="51">
        <f>IF(A221="","",SUMIFS('Daily Expenses Log'!$E:$E,'Daily Expenses Log'!$A:$A,A221))</f>
        <v/>
      </c>
      <c r="F221" s="51">
        <f>IF(A221="","",SUMIFS('Creditors Tracker'!$F:$F,'Creditors Tracker'!$G:$G,A221))</f>
        <v/>
      </c>
      <c r="G221" s="51">
        <f>IF(A221="","",B221+C221+D221-E221-F221)</f>
        <v/>
      </c>
      <c r="H221" s="51">
        <f>IF(A221="","",SUM('Stock Master'!$J$2:$J$49))</f>
        <v/>
      </c>
      <c r="I221" s="51">
        <f>IF(A221="","",SUM('Credit Sales Tracker'!$J$2:$J$501))</f>
        <v/>
      </c>
      <c r="J221" s="51">
        <f>IF(A221="","",SUM('Creditors Tracker'!$H$2:$H$501))</f>
        <v/>
      </c>
      <c r="K221" s="49" t="n"/>
    </row>
    <row r="222">
      <c r="A222" s="52" t="n"/>
      <c r="B222" s="51">
        <f>IF(A222="","",G221)</f>
        <v/>
      </c>
      <c r="C222" s="51">
        <f>IF(A222="","",SUMIFS('Daily Sales Log'!$J:$J,'Daily Sales Log'!$A:$A,A222))</f>
        <v/>
      </c>
      <c r="D222" s="51">
        <f>IF(A222="","",SUMIFS('Credit Sales Tracker'!$H:$H,'Credit Sales Tracker'!$I:$I,A222))</f>
        <v/>
      </c>
      <c r="E222" s="51">
        <f>IF(A222="","",SUMIFS('Daily Expenses Log'!$E:$E,'Daily Expenses Log'!$A:$A,A222))</f>
        <v/>
      </c>
      <c r="F222" s="51">
        <f>IF(A222="","",SUMIFS('Creditors Tracker'!$F:$F,'Creditors Tracker'!$G:$G,A222))</f>
        <v/>
      </c>
      <c r="G222" s="51">
        <f>IF(A222="","",B222+C222+D222-E222-F222)</f>
        <v/>
      </c>
      <c r="H222" s="51">
        <f>IF(A222="","",SUM('Stock Master'!$J$2:$J$49))</f>
        <v/>
      </c>
      <c r="I222" s="51">
        <f>IF(A222="","",SUM('Credit Sales Tracker'!$J$2:$J$501))</f>
        <v/>
      </c>
      <c r="J222" s="51">
        <f>IF(A222="","",SUM('Creditors Tracker'!$H$2:$H$501))</f>
        <v/>
      </c>
      <c r="K222" s="49" t="n"/>
    </row>
    <row r="223">
      <c r="A223" s="52" t="n"/>
      <c r="B223" s="51">
        <f>IF(A223="","",G222)</f>
        <v/>
      </c>
      <c r="C223" s="51">
        <f>IF(A223="","",SUMIFS('Daily Sales Log'!$J:$J,'Daily Sales Log'!$A:$A,A223))</f>
        <v/>
      </c>
      <c r="D223" s="51">
        <f>IF(A223="","",SUMIFS('Credit Sales Tracker'!$H:$H,'Credit Sales Tracker'!$I:$I,A223))</f>
        <v/>
      </c>
      <c r="E223" s="51">
        <f>IF(A223="","",SUMIFS('Daily Expenses Log'!$E:$E,'Daily Expenses Log'!$A:$A,A223))</f>
        <v/>
      </c>
      <c r="F223" s="51">
        <f>IF(A223="","",SUMIFS('Creditors Tracker'!$F:$F,'Creditors Tracker'!$G:$G,A223))</f>
        <v/>
      </c>
      <c r="G223" s="51">
        <f>IF(A223="","",B223+C223+D223-E223-F223)</f>
        <v/>
      </c>
      <c r="H223" s="51">
        <f>IF(A223="","",SUM('Stock Master'!$J$2:$J$49))</f>
        <v/>
      </c>
      <c r="I223" s="51">
        <f>IF(A223="","",SUM('Credit Sales Tracker'!$J$2:$J$501))</f>
        <v/>
      </c>
      <c r="J223" s="51">
        <f>IF(A223="","",SUM('Creditors Tracker'!$H$2:$H$501))</f>
        <v/>
      </c>
      <c r="K223" s="49" t="n"/>
    </row>
    <row r="224">
      <c r="A224" s="52" t="n"/>
      <c r="B224" s="51">
        <f>IF(A224="","",G223)</f>
        <v/>
      </c>
      <c r="C224" s="51">
        <f>IF(A224="","",SUMIFS('Daily Sales Log'!$J:$J,'Daily Sales Log'!$A:$A,A224))</f>
        <v/>
      </c>
      <c r="D224" s="51">
        <f>IF(A224="","",SUMIFS('Credit Sales Tracker'!$H:$H,'Credit Sales Tracker'!$I:$I,A224))</f>
        <v/>
      </c>
      <c r="E224" s="51">
        <f>IF(A224="","",SUMIFS('Daily Expenses Log'!$E:$E,'Daily Expenses Log'!$A:$A,A224))</f>
        <v/>
      </c>
      <c r="F224" s="51">
        <f>IF(A224="","",SUMIFS('Creditors Tracker'!$F:$F,'Creditors Tracker'!$G:$G,A224))</f>
        <v/>
      </c>
      <c r="G224" s="51">
        <f>IF(A224="","",B224+C224+D224-E224-F224)</f>
        <v/>
      </c>
      <c r="H224" s="51">
        <f>IF(A224="","",SUM('Stock Master'!$J$2:$J$49))</f>
        <v/>
      </c>
      <c r="I224" s="51">
        <f>IF(A224="","",SUM('Credit Sales Tracker'!$J$2:$J$501))</f>
        <v/>
      </c>
      <c r="J224" s="51">
        <f>IF(A224="","",SUM('Creditors Tracker'!$H$2:$H$501))</f>
        <v/>
      </c>
      <c r="K224" s="49" t="n"/>
    </row>
    <row r="225">
      <c r="A225" s="52" t="n"/>
      <c r="B225" s="51">
        <f>IF(A225="","",G224)</f>
        <v/>
      </c>
      <c r="C225" s="51">
        <f>IF(A225="","",SUMIFS('Daily Sales Log'!$J:$J,'Daily Sales Log'!$A:$A,A225))</f>
        <v/>
      </c>
      <c r="D225" s="51">
        <f>IF(A225="","",SUMIFS('Credit Sales Tracker'!$H:$H,'Credit Sales Tracker'!$I:$I,A225))</f>
        <v/>
      </c>
      <c r="E225" s="51">
        <f>IF(A225="","",SUMIFS('Daily Expenses Log'!$E:$E,'Daily Expenses Log'!$A:$A,A225))</f>
        <v/>
      </c>
      <c r="F225" s="51">
        <f>IF(A225="","",SUMIFS('Creditors Tracker'!$F:$F,'Creditors Tracker'!$G:$G,A225))</f>
        <v/>
      </c>
      <c r="G225" s="51">
        <f>IF(A225="","",B225+C225+D225-E225-F225)</f>
        <v/>
      </c>
      <c r="H225" s="51">
        <f>IF(A225="","",SUM('Stock Master'!$J$2:$J$49))</f>
        <v/>
      </c>
      <c r="I225" s="51">
        <f>IF(A225="","",SUM('Credit Sales Tracker'!$J$2:$J$501))</f>
        <v/>
      </c>
      <c r="J225" s="51">
        <f>IF(A225="","",SUM('Creditors Tracker'!$H$2:$H$501))</f>
        <v/>
      </c>
      <c r="K225" s="49" t="n"/>
    </row>
    <row r="226">
      <c r="A226" s="52" t="n"/>
      <c r="B226" s="51">
        <f>IF(A226="","",G225)</f>
        <v/>
      </c>
      <c r="C226" s="51">
        <f>IF(A226="","",SUMIFS('Daily Sales Log'!$J:$J,'Daily Sales Log'!$A:$A,A226))</f>
        <v/>
      </c>
      <c r="D226" s="51">
        <f>IF(A226="","",SUMIFS('Credit Sales Tracker'!$H:$H,'Credit Sales Tracker'!$I:$I,A226))</f>
        <v/>
      </c>
      <c r="E226" s="51">
        <f>IF(A226="","",SUMIFS('Daily Expenses Log'!$E:$E,'Daily Expenses Log'!$A:$A,A226))</f>
        <v/>
      </c>
      <c r="F226" s="51">
        <f>IF(A226="","",SUMIFS('Creditors Tracker'!$F:$F,'Creditors Tracker'!$G:$G,A226))</f>
        <v/>
      </c>
      <c r="G226" s="51">
        <f>IF(A226="","",B226+C226+D226-E226-F226)</f>
        <v/>
      </c>
      <c r="H226" s="51">
        <f>IF(A226="","",SUM('Stock Master'!$J$2:$J$49))</f>
        <v/>
      </c>
      <c r="I226" s="51">
        <f>IF(A226="","",SUM('Credit Sales Tracker'!$J$2:$J$501))</f>
        <v/>
      </c>
      <c r="J226" s="51">
        <f>IF(A226="","",SUM('Creditors Tracker'!$H$2:$H$501))</f>
        <v/>
      </c>
      <c r="K226" s="49" t="n"/>
    </row>
    <row r="227">
      <c r="A227" s="52" t="n"/>
      <c r="B227" s="51">
        <f>IF(A227="","",G226)</f>
        <v/>
      </c>
      <c r="C227" s="51">
        <f>IF(A227="","",SUMIFS('Daily Sales Log'!$J:$J,'Daily Sales Log'!$A:$A,A227))</f>
        <v/>
      </c>
      <c r="D227" s="51">
        <f>IF(A227="","",SUMIFS('Credit Sales Tracker'!$H:$H,'Credit Sales Tracker'!$I:$I,A227))</f>
        <v/>
      </c>
      <c r="E227" s="51">
        <f>IF(A227="","",SUMIFS('Daily Expenses Log'!$E:$E,'Daily Expenses Log'!$A:$A,A227))</f>
        <v/>
      </c>
      <c r="F227" s="51">
        <f>IF(A227="","",SUMIFS('Creditors Tracker'!$F:$F,'Creditors Tracker'!$G:$G,A227))</f>
        <v/>
      </c>
      <c r="G227" s="51">
        <f>IF(A227="","",B227+C227+D227-E227-F227)</f>
        <v/>
      </c>
      <c r="H227" s="51">
        <f>IF(A227="","",SUM('Stock Master'!$J$2:$J$49))</f>
        <v/>
      </c>
      <c r="I227" s="51">
        <f>IF(A227="","",SUM('Credit Sales Tracker'!$J$2:$J$501))</f>
        <v/>
      </c>
      <c r="J227" s="51">
        <f>IF(A227="","",SUM('Creditors Tracker'!$H$2:$H$501))</f>
        <v/>
      </c>
      <c r="K227" s="49" t="n"/>
    </row>
    <row r="228">
      <c r="A228" s="52" t="n"/>
      <c r="B228" s="51">
        <f>IF(A228="","",G227)</f>
        <v/>
      </c>
      <c r="C228" s="51">
        <f>IF(A228="","",SUMIFS('Daily Sales Log'!$J:$J,'Daily Sales Log'!$A:$A,A228))</f>
        <v/>
      </c>
      <c r="D228" s="51">
        <f>IF(A228="","",SUMIFS('Credit Sales Tracker'!$H:$H,'Credit Sales Tracker'!$I:$I,A228))</f>
        <v/>
      </c>
      <c r="E228" s="51">
        <f>IF(A228="","",SUMIFS('Daily Expenses Log'!$E:$E,'Daily Expenses Log'!$A:$A,A228))</f>
        <v/>
      </c>
      <c r="F228" s="51">
        <f>IF(A228="","",SUMIFS('Creditors Tracker'!$F:$F,'Creditors Tracker'!$G:$G,A228))</f>
        <v/>
      </c>
      <c r="G228" s="51">
        <f>IF(A228="","",B228+C228+D228-E228-F228)</f>
        <v/>
      </c>
      <c r="H228" s="51">
        <f>IF(A228="","",SUM('Stock Master'!$J$2:$J$49))</f>
        <v/>
      </c>
      <c r="I228" s="51">
        <f>IF(A228="","",SUM('Credit Sales Tracker'!$J$2:$J$501))</f>
        <v/>
      </c>
      <c r="J228" s="51">
        <f>IF(A228="","",SUM('Creditors Tracker'!$H$2:$H$501))</f>
        <v/>
      </c>
      <c r="K228" s="49" t="n"/>
    </row>
    <row r="229">
      <c r="A229" s="52" t="n"/>
      <c r="B229" s="51">
        <f>IF(A229="","",G228)</f>
        <v/>
      </c>
      <c r="C229" s="51">
        <f>IF(A229="","",SUMIFS('Daily Sales Log'!$J:$J,'Daily Sales Log'!$A:$A,A229))</f>
        <v/>
      </c>
      <c r="D229" s="51">
        <f>IF(A229="","",SUMIFS('Credit Sales Tracker'!$H:$H,'Credit Sales Tracker'!$I:$I,A229))</f>
        <v/>
      </c>
      <c r="E229" s="51">
        <f>IF(A229="","",SUMIFS('Daily Expenses Log'!$E:$E,'Daily Expenses Log'!$A:$A,A229))</f>
        <v/>
      </c>
      <c r="F229" s="51">
        <f>IF(A229="","",SUMIFS('Creditors Tracker'!$F:$F,'Creditors Tracker'!$G:$G,A229))</f>
        <v/>
      </c>
      <c r="G229" s="51">
        <f>IF(A229="","",B229+C229+D229-E229-F229)</f>
        <v/>
      </c>
      <c r="H229" s="51">
        <f>IF(A229="","",SUM('Stock Master'!$J$2:$J$49))</f>
        <v/>
      </c>
      <c r="I229" s="51">
        <f>IF(A229="","",SUM('Credit Sales Tracker'!$J$2:$J$501))</f>
        <v/>
      </c>
      <c r="J229" s="51">
        <f>IF(A229="","",SUM('Creditors Tracker'!$H$2:$H$501))</f>
        <v/>
      </c>
      <c r="K229" s="49" t="n"/>
    </row>
    <row r="230">
      <c r="A230" s="52" t="n"/>
      <c r="B230" s="51">
        <f>IF(A230="","",G229)</f>
        <v/>
      </c>
      <c r="C230" s="51">
        <f>IF(A230="","",SUMIFS('Daily Sales Log'!$J:$J,'Daily Sales Log'!$A:$A,A230))</f>
        <v/>
      </c>
      <c r="D230" s="51">
        <f>IF(A230="","",SUMIFS('Credit Sales Tracker'!$H:$H,'Credit Sales Tracker'!$I:$I,A230))</f>
        <v/>
      </c>
      <c r="E230" s="51">
        <f>IF(A230="","",SUMIFS('Daily Expenses Log'!$E:$E,'Daily Expenses Log'!$A:$A,A230))</f>
        <v/>
      </c>
      <c r="F230" s="51">
        <f>IF(A230="","",SUMIFS('Creditors Tracker'!$F:$F,'Creditors Tracker'!$G:$G,A230))</f>
        <v/>
      </c>
      <c r="G230" s="51">
        <f>IF(A230="","",B230+C230+D230-E230-F230)</f>
        <v/>
      </c>
      <c r="H230" s="51">
        <f>IF(A230="","",SUM('Stock Master'!$J$2:$J$49))</f>
        <v/>
      </c>
      <c r="I230" s="51">
        <f>IF(A230="","",SUM('Credit Sales Tracker'!$J$2:$J$501))</f>
        <v/>
      </c>
      <c r="J230" s="51">
        <f>IF(A230="","",SUM('Creditors Tracker'!$H$2:$H$501))</f>
        <v/>
      </c>
      <c r="K230" s="49" t="n"/>
    </row>
    <row r="231">
      <c r="A231" s="52" t="n"/>
      <c r="B231" s="51">
        <f>IF(A231="","",G230)</f>
        <v/>
      </c>
      <c r="C231" s="51">
        <f>IF(A231="","",SUMIFS('Daily Sales Log'!$J:$J,'Daily Sales Log'!$A:$A,A231))</f>
        <v/>
      </c>
      <c r="D231" s="51">
        <f>IF(A231="","",SUMIFS('Credit Sales Tracker'!$H:$H,'Credit Sales Tracker'!$I:$I,A231))</f>
        <v/>
      </c>
      <c r="E231" s="51">
        <f>IF(A231="","",SUMIFS('Daily Expenses Log'!$E:$E,'Daily Expenses Log'!$A:$A,A231))</f>
        <v/>
      </c>
      <c r="F231" s="51">
        <f>IF(A231="","",SUMIFS('Creditors Tracker'!$F:$F,'Creditors Tracker'!$G:$G,A231))</f>
        <v/>
      </c>
      <c r="G231" s="51">
        <f>IF(A231="","",B231+C231+D231-E231-F231)</f>
        <v/>
      </c>
      <c r="H231" s="51">
        <f>IF(A231="","",SUM('Stock Master'!$J$2:$J$49))</f>
        <v/>
      </c>
      <c r="I231" s="51">
        <f>IF(A231="","",SUM('Credit Sales Tracker'!$J$2:$J$501))</f>
        <v/>
      </c>
      <c r="J231" s="51">
        <f>IF(A231="","",SUM('Creditors Tracker'!$H$2:$H$501))</f>
        <v/>
      </c>
      <c r="K231" s="49" t="n"/>
    </row>
    <row r="232">
      <c r="A232" s="52" t="n"/>
      <c r="B232" s="51">
        <f>IF(A232="","",G231)</f>
        <v/>
      </c>
      <c r="C232" s="51">
        <f>IF(A232="","",SUMIFS('Daily Sales Log'!$J:$J,'Daily Sales Log'!$A:$A,A232))</f>
        <v/>
      </c>
      <c r="D232" s="51">
        <f>IF(A232="","",SUMIFS('Credit Sales Tracker'!$H:$H,'Credit Sales Tracker'!$I:$I,A232))</f>
        <v/>
      </c>
      <c r="E232" s="51">
        <f>IF(A232="","",SUMIFS('Daily Expenses Log'!$E:$E,'Daily Expenses Log'!$A:$A,A232))</f>
        <v/>
      </c>
      <c r="F232" s="51">
        <f>IF(A232="","",SUMIFS('Creditors Tracker'!$F:$F,'Creditors Tracker'!$G:$G,A232))</f>
        <v/>
      </c>
      <c r="G232" s="51">
        <f>IF(A232="","",B232+C232+D232-E232-F232)</f>
        <v/>
      </c>
      <c r="H232" s="51">
        <f>IF(A232="","",SUM('Stock Master'!$J$2:$J$49))</f>
        <v/>
      </c>
      <c r="I232" s="51">
        <f>IF(A232="","",SUM('Credit Sales Tracker'!$J$2:$J$501))</f>
        <v/>
      </c>
      <c r="J232" s="51">
        <f>IF(A232="","",SUM('Creditors Tracker'!$H$2:$H$501))</f>
        <v/>
      </c>
      <c r="K232" s="49" t="n"/>
    </row>
    <row r="233">
      <c r="A233" s="52" t="n"/>
      <c r="B233" s="51">
        <f>IF(A233="","",G232)</f>
        <v/>
      </c>
      <c r="C233" s="51">
        <f>IF(A233="","",SUMIFS('Daily Sales Log'!$J:$J,'Daily Sales Log'!$A:$A,A233))</f>
        <v/>
      </c>
      <c r="D233" s="51">
        <f>IF(A233="","",SUMIFS('Credit Sales Tracker'!$H:$H,'Credit Sales Tracker'!$I:$I,A233))</f>
        <v/>
      </c>
      <c r="E233" s="51">
        <f>IF(A233="","",SUMIFS('Daily Expenses Log'!$E:$E,'Daily Expenses Log'!$A:$A,A233))</f>
        <v/>
      </c>
      <c r="F233" s="51">
        <f>IF(A233="","",SUMIFS('Creditors Tracker'!$F:$F,'Creditors Tracker'!$G:$G,A233))</f>
        <v/>
      </c>
      <c r="G233" s="51">
        <f>IF(A233="","",B233+C233+D233-E233-F233)</f>
        <v/>
      </c>
      <c r="H233" s="51">
        <f>IF(A233="","",SUM('Stock Master'!$J$2:$J$49))</f>
        <v/>
      </c>
      <c r="I233" s="51">
        <f>IF(A233="","",SUM('Credit Sales Tracker'!$J$2:$J$501))</f>
        <v/>
      </c>
      <c r="J233" s="51">
        <f>IF(A233="","",SUM('Creditors Tracker'!$H$2:$H$501))</f>
        <v/>
      </c>
      <c r="K233" s="49" t="n"/>
    </row>
    <row r="234">
      <c r="A234" s="52" t="n"/>
      <c r="B234" s="51">
        <f>IF(A234="","",G233)</f>
        <v/>
      </c>
      <c r="C234" s="51">
        <f>IF(A234="","",SUMIFS('Daily Sales Log'!$J:$J,'Daily Sales Log'!$A:$A,A234))</f>
        <v/>
      </c>
      <c r="D234" s="51">
        <f>IF(A234="","",SUMIFS('Credit Sales Tracker'!$H:$H,'Credit Sales Tracker'!$I:$I,A234))</f>
        <v/>
      </c>
      <c r="E234" s="51">
        <f>IF(A234="","",SUMIFS('Daily Expenses Log'!$E:$E,'Daily Expenses Log'!$A:$A,A234))</f>
        <v/>
      </c>
      <c r="F234" s="51">
        <f>IF(A234="","",SUMIFS('Creditors Tracker'!$F:$F,'Creditors Tracker'!$G:$G,A234))</f>
        <v/>
      </c>
      <c r="G234" s="51">
        <f>IF(A234="","",B234+C234+D234-E234-F234)</f>
        <v/>
      </c>
      <c r="H234" s="51">
        <f>IF(A234="","",SUM('Stock Master'!$J$2:$J$49))</f>
        <v/>
      </c>
      <c r="I234" s="51">
        <f>IF(A234="","",SUM('Credit Sales Tracker'!$J$2:$J$501))</f>
        <v/>
      </c>
      <c r="J234" s="51">
        <f>IF(A234="","",SUM('Creditors Tracker'!$H$2:$H$501))</f>
        <v/>
      </c>
      <c r="K234" s="49" t="n"/>
    </row>
    <row r="235">
      <c r="A235" s="52" t="n"/>
      <c r="B235" s="51">
        <f>IF(A235="","",G234)</f>
        <v/>
      </c>
      <c r="C235" s="51">
        <f>IF(A235="","",SUMIFS('Daily Sales Log'!$J:$J,'Daily Sales Log'!$A:$A,A235))</f>
        <v/>
      </c>
      <c r="D235" s="51">
        <f>IF(A235="","",SUMIFS('Credit Sales Tracker'!$H:$H,'Credit Sales Tracker'!$I:$I,A235))</f>
        <v/>
      </c>
      <c r="E235" s="51">
        <f>IF(A235="","",SUMIFS('Daily Expenses Log'!$E:$E,'Daily Expenses Log'!$A:$A,A235))</f>
        <v/>
      </c>
      <c r="F235" s="51">
        <f>IF(A235="","",SUMIFS('Creditors Tracker'!$F:$F,'Creditors Tracker'!$G:$G,A235))</f>
        <v/>
      </c>
      <c r="G235" s="51">
        <f>IF(A235="","",B235+C235+D235-E235-F235)</f>
        <v/>
      </c>
      <c r="H235" s="51">
        <f>IF(A235="","",SUM('Stock Master'!$J$2:$J$49))</f>
        <v/>
      </c>
      <c r="I235" s="51">
        <f>IF(A235="","",SUM('Credit Sales Tracker'!$J$2:$J$501))</f>
        <v/>
      </c>
      <c r="J235" s="51">
        <f>IF(A235="","",SUM('Creditors Tracker'!$H$2:$H$501))</f>
        <v/>
      </c>
      <c r="K235" s="49" t="n"/>
    </row>
    <row r="236">
      <c r="A236" s="52" t="n"/>
      <c r="B236" s="51">
        <f>IF(A236="","",G235)</f>
        <v/>
      </c>
      <c r="C236" s="51">
        <f>IF(A236="","",SUMIFS('Daily Sales Log'!$J:$J,'Daily Sales Log'!$A:$A,A236))</f>
        <v/>
      </c>
      <c r="D236" s="51">
        <f>IF(A236="","",SUMIFS('Credit Sales Tracker'!$H:$H,'Credit Sales Tracker'!$I:$I,A236))</f>
        <v/>
      </c>
      <c r="E236" s="51">
        <f>IF(A236="","",SUMIFS('Daily Expenses Log'!$E:$E,'Daily Expenses Log'!$A:$A,A236))</f>
        <v/>
      </c>
      <c r="F236" s="51">
        <f>IF(A236="","",SUMIFS('Creditors Tracker'!$F:$F,'Creditors Tracker'!$G:$G,A236))</f>
        <v/>
      </c>
      <c r="G236" s="51">
        <f>IF(A236="","",B236+C236+D236-E236-F236)</f>
        <v/>
      </c>
      <c r="H236" s="51">
        <f>IF(A236="","",SUM('Stock Master'!$J$2:$J$49))</f>
        <v/>
      </c>
      <c r="I236" s="51">
        <f>IF(A236="","",SUM('Credit Sales Tracker'!$J$2:$J$501))</f>
        <v/>
      </c>
      <c r="J236" s="51">
        <f>IF(A236="","",SUM('Creditors Tracker'!$H$2:$H$501))</f>
        <v/>
      </c>
      <c r="K236" s="49" t="n"/>
    </row>
    <row r="237">
      <c r="A237" s="52" t="n"/>
      <c r="B237" s="51">
        <f>IF(A237="","",G236)</f>
        <v/>
      </c>
      <c r="C237" s="51">
        <f>IF(A237="","",SUMIFS('Daily Sales Log'!$J:$J,'Daily Sales Log'!$A:$A,A237))</f>
        <v/>
      </c>
      <c r="D237" s="51">
        <f>IF(A237="","",SUMIFS('Credit Sales Tracker'!$H:$H,'Credit Sales Tracker'!$I:$I,A237))</f>
        <v/>
      </c>
      <c r="E237" s="51">
        <f>IF(A237="","",SUMIFS('Daily Expenses Log'!$E:$E,'Daily Expenses Log'!$A:$A,A237))</f>
        <v/>
      </c>
      <c r="F237" s="51">
        <f>IF(A237="","",SUMIFS('Creditors Tracker'!$F:$F,'Creditors Tracker'!$G:$G,A237))</f>
        <v/>
      </c>
      <c r="G237" s="51">
        <f>IF(A237="","",B237+C237+D237-E237-F237)</f>
        <v/>
      </c>
      <c r="H237" s="51">
        <f>IF(A237="","",SUM('Stock Master'!$J$2:$J$49))</f>
        <v/>
      </c>
      <c r="I237" s="51">
        <f>IF(A237="","",SUM('Credit Sales Tracker'!$J$2:$J$501))</f>
        <v/>
      </c>
      <c r="J237" s="51">
        <f>IF(A237="","",SUM('Creditors Tracker'!$H$2:$H$501))</f>
        <v/>
      </c>
      <c r="K237" s="49" t="n"/>
    </row>
    <row r="238">
      <c r="A238" s="52" t="n"/>
      <c r="B238" s="51">
        <f>IF(A238="","",G237)</f>
        <v/>
      </c>
      <c r="C238" s="51">
        <f>IF(A238="","",SUMIFS('Daily Sales Log'!$J:$J,'Daily Sales Log'!$A:$A,A238))</f>
        <v/>
      </c>
      <c r="D238" s="51">
        <f>IF(A238="","",SUMIFS('Credit Sales Tracker'!$H:$H,'Credit Sales Tracker'!$I:$I,A238))</f>
        <v/>
      </c>
      <c r="E238" s="51">
        <f>IF(A238="","",SUMIFS('Daily Expenses Log'!$E:$E,'Daily Expenses Log'!$A:$A,A238))</f>
        <v/>
      </c>
      <c r="F238" s="51">
        <f>IF(A238="","",SUMIFS('Creditors Tracker'!$F:$F,'Creditors Tracker'!$G:$G,A238))</f>
        <v/>
      </c>
      <c r="G238" s="51">
        <f>IF(A238="","",B238+C238+D238-E238-F238)</f>
        <v/>
      </c>
      <c r="H238" s="51">
        <f>IF(A238="","",SUM('Stock Master'!$J$2:$J$49))</f>
        <v/>
      </c>
      <c r="I238" s="51">
        <f>IF(A238="","",SUM('Credit Sales Tracker'!$J$2:$J$501))</f>
        <v/>
      </c>
      <c r="J238" s="51">
        <f>IF(A238="","",SUM('Creditors Tracker'!$H$2:$H$501))</f>
        <v/>
      </c>
      <c r="K238" s="49" t="n"/>
    </row>
    <row r="239">
      <c r="A239" s="52" t="n"/>
      <c r="B239" s="51">
        <f>IF(A239="","",G238)</f>
        <v/>
      </c>
      <c r="C239" s="51">
        <f>IF(A239="","",SUMIFS('Daily Sales Log'!$J:$J,'Daily Sales Log'!$A:$A,A239))</f>
        <v/>
      </c>
      <c r="D239" s="51">
        <f>IF(A239="","",SUMIFS('Credit Sales Tracker'!$H:$H,'Credit Sales Tracker'!$I:$I,A239))</f>
        <v/>
      </c>
      <c r="E239" s="51">
        <f>IF(A239="","",SUMIFS('Daily Expenses Log'!$E:$E,'Daily Expenses Log'!$A:$A,A239))</f>
        <v/>
      </c>
      <c r="F239" s="51">
        <f>IF(A239="","",SUMIFS('Creditors Tracker'!$F:$F,'Creditors Tracker'!$G:$G,A239))</f>
        <v/>
      </c>
      <c r="G239" s="51">
        <f>IF(A239="","",B239+C239+D239-E239-F239)</f>
        <v/>
      </c>
      <c r="H239" s="51">
        <f>IF(A239="","",SUM('Stock Master'!$J$2:$J$49))</f>
        <v/>
      </c>
      <c r="I239" s="51">
        <f>IF(A239="","",SUM('Credit Sales Tracker'!$J$2:$J$501))</f>
        <v/>
      </c>
      <c r="J239" s="51">
        <f>IF(A239="","",SUM('Creditors Tracker'!$H$2:$H$501))</f>
        <v/>
      </c>
      <c r="K239" s="49" t="n"/>
    </row>
    <row r="240">
      <c r="A240" s="52" t="n"/>
      <c r="B240" s="51">
        <f>IF(A240="","",G239)</f>
        <v/>
      </c>
      <c r="C240" s="51">
        <f>IF(A240="","",SUMIFS('Daily Sales Log'!$J:$J,'Daily Sales Log'!$A:$A,A240))</f>
        <v/>
      </c>
      <c r="D240" s="51">
        <f>IF(A240="","",SUMIFS('Credit Sales Tracker'!$H:$H,'Credit Sales Tracker'!$I:$I,A240))</f>
        <v/>
      </c>
      <c r="E240" s="51">
        <f>IF(A240="","",SUMIFS('Daily Expenses Log'!$E:$E,'Daily Expenses Log'!$A:$A,A240))</f>
        <v/>
      </c>
      <c r="F240" s="51">
        <f>IF(A240="","",SUMIFS('Creditors Tracker'!$F:$F,'Creditors Tracker'!$G:$G,A240))</f>
        <v/>
      </c>
      <c r="G240" s="51">
        <f>IF(A240="","",B240+C240+D240-E240-F240)</f>
        <v/>
      </c>
      <c r="H240" s="51">
        <f>IF(A240="","",SUM('Stock Master'!$J$2:$J$49))</f>
        <v/>
      </c>
      <c r="I240" s="51">
        <f>IF(A240="","",SUM('Credit Sales Tracker'!$J$2:$J$501))</f>
        <v/>
      </c>
      <c r="J240" s="51">
        <f>IF(A240="","",SUM('Creditors Tracker'!$H$2:$H$501))</f>
        <v/>
      </c>
      <c r="K240" s="49" t="n"/>
    </row>
    <row r="241">
      <c r="A241" s="52" t="n"/>
      <c r="B241" s="51">
        <f>IF(A241="","",G240)</f>
        <v/>
      </c>
      <c r="C241" s="51">
        <f>IF(A241="","",SUMIFS('Daily Sales Log'!$J:$J,'Daily Sales Log'!$A:$A,A241))</f>
        <v/>
      </c>
      <c r="D241" s="51">
        <f>IF(A241="","",SUMIFS('Credit Sales Tracker'!$H:$H,'Credit Sales Tracker'!$I:$I,A241))</f>
        <v/>
      </c>
      <c r="E241" s="51">
        <f>IF(A241="","",SUMIFS('Daily Expenses Log'!$E:$E,'Daily Expenses Log'!$A:$A,A241))</f>
        <v/>
      </c>
      <c r="F241" s="51">
        <f>IF(A241="","",SUMIFS('Creditors Tracker'!$F:$F,'Creditors Tracker'!$G:$G,A241))</f>
        <v/>
      </c>
      <c r="G241" s="51">
        <f>IF(A241="","",B241+C241+D241-E241-F241)</f>
        <v/>
      </c>
      <c r="H241" s="51">
        <f>IF(A241="","",SUM('Stock Master'!$J$2:$J$49))</f>
        <v/>
      </c>
      <c r="I241" s="51">
        <f>IF(A241="","",SUM('Credit Sales Tracker'!$J$2:$J$501))</f>
        <v/>
      </c>
      <c r="J241" s="51">
        <f>IF(A241="","",SUM('Creditors Tracker'!$H$2:$H$501))</f>
        <v/>
      </c>
      <c r="K241" s="49" t="n"/>
    </row>
    <row r="242">
      <c r="A242" s="52" t="n"/>
      <c r="B242" s="51">
        <f>IF(A242="","",G241)</f>
        <v/>
      </c>
      <c r="C242" s="51">
        <f>IF(A242="","",SUMIFS('Daily Sales Log'!$J:$J,'Daily Sales Log'!$A:$A,A242))</f>
        <v/>
      </c>
      <c r="D242" s="51">
        <f>IF(A242="","",SUMIFS('Credit Sales Tracker'!$H:$H,'Credit Sales Tracker'!$I:$I,A242))</f>
        <v/>
      </c>
      <c r="E242" s="51">
        <f>IF(A242="","",SUMIFS('Daily Expenses Log'!$E:$E,'Daily Expenses Log'!$A:$A,A242))</f>
        <v/>
      </c>
      <c r="F242" s="51">
        <f>IF(A242="","",SUMIFS('Creditors Tracker'!$F:$F,'Creditors Tracker'!$G:$G,A242))</f>
        <v/>
      </c>
      <c r="G242" s="51">
        <f>IF(A242="","",B242+C242+D242-E242-F242)</f>
        <v/>
      </c>
      <c r="H242" s="51">
        <f>IF(A242="","",SUM('Stock Master'!$J$2:$J$49))</f>
        <v/>
      </c>
      <c r="I242" s="51">
        <f>IF(A242="","",SUM('Credit Sales Tracker'!$J$2:$J$501))</f>
        <v/>
      </c>
      <c r="J242" s="51">
        <f>IF(A242="","",SUM('Creditors Tracker'!$H$2:$H$501))</f>
        <v/>
      </c>
      <c r="K242" s="49" t="n"/>
    </row>
    <row r="243">
      <c r="A243" s="52" t="n"/>
      <c r="B243" s="51">
        <f>IF(A243="","",G242)</f>
        <v/>
      </c>
      <c r="C243" s="51">
        <f>IF(A243="","",SUMIFS('Daily Sales Log'!$J:$J,'Daily Sales Log'!$A:$A,A243))</f>
        <v/>
      </c>
      <c r="D243" s="51">
        <f>IF(A243="","",SUMIFS('Credit Sales Tracker'!$H:$H,'Credit Sales Tracker'!$I:$I,A243))</f>
        <v/>
      </c>
      <c r="E243" s="51">
        <f>IF(A243="","",SUMIFS('Daily Expenses Log'!$E:$E,'Daily Expenses Log'!$A:$A,A243))</f>
        <v/>
      </c>
      <c r="F243" s="51">
        <f>IF(A243="","",SUMIFS('Creditors Tracker'!$F:$F,'Creditors Tracker'!$G:$G,A243))</f>
        <v/>
      </c>
      <c r="G243" s="51">
        <f>IF(A243="","",B243+C243+D243-E243-F243)</f>
        <v/>
      </c>
      <c r="H243" s="51">
        <f>IF(A243="","",SUM('Stock Master'!$J$2:$J$49))</f>
        <v/>
      </c>
      <c r="I243" s="51">
        <f>IF(A243="","",SUM('Credit Sales Tracker'!$J$2:$J$501))</f>
        <v/>
      </c>
      <c r="J243" s="51">
        <f>IF(A243="","",SUM('Creditors Tracker'!$H$2:$H$501))</f>
        <v/>
      </c>
      <c r="K243" s="49" t="n"/>
    </row>
    <row r="244">
      <c r="A244" s="52" t="n"/>
      <c r="B244" s="51">
        <f>IF(A244="","",G243)</f>
        <v/>
      </c>
      <c r="C244" s="51">
        <f>IF(A244="","",SUMIFS('Daily Sales Log'!$J:$J,'Daily Sales Log'!$A:$A,A244))</f>
        <v/>
      </c>
      <c r="D244" s="51">
        <f>IF(A244="","",SUMIFS('Credit Sales Tracker'!$H:$H,'Credit Sales Tracker'!$I:$I,A244))</f>
        <v/>
      </c>
      <c r="E244" s="51">
        <f>IF(A244="","",SUMIFS('Daily Expenses Log'!$E:$E,'Daily Expenses Log'!$A:$A,A244))</f>
        <v/>
      </c>
      <c r="F244" s="51">
        <f>IF(A244="","",SUMIFS('Creditors Tracker'!$F:$F,'Creditors Tracker'!$G:$G,A244))</f>
        <v/>
      </c>
      <c r="G244" s="51">
        <f>IF(A244="","",B244+C244+D244-E244-F244)</f>
        <v/>
      </c>
      <c r="H244" s="51">
        <f>IF(A244="","",SUM('Stock Master'!$J$2:$J$49))</f>
        <v/>
      </c>
      <c r="I244" s="51">
        <f>IF(A244="","",SUM('Credit Sales Tracker'!$J$2:$J$501))</f>
        <v/>
      </c>
      <c r="J244" s="51">
        <f>IF(A244="","",SUM('Creditors Tracker'!$H$2:$H$501))</f>
        <v/>
      </c>
      <c r="K244" s="49" t="n"/>
    </row>
    <row r="245">
      <c r="A245" s="52" t="n"/>
      <c r="B245" s="51">
        <f>IF(A245="","",G244)</f>
        <v/>
      </c>
      <c r="C245" s="51">
        <f>IF(A245="","",SUMIFS('Daily Sales Log'!$J:$J,'Daily Sales Log'!$A:$A,A245))</f>
        <v/>
      </c>
      <c r="D245" s="51">
        <f>IF(A245="","",SUMIFS('Credit Sales Tracker'!$H:$H,'Credit Sales Tracker'!$I:$I,A245))</f>
        <v/>
      </c>
      <c r="E245" s="51">
        <f>IF(A245="","",SUMIFS('Daily Expenses Log'!$E:$E,'Daily Expenses Log'!$A:$A,A245))</f>
        <v/>
      </c>
      <c r="F245" s="51">
        <f>IF(A245="","",SUMIFS('Creditors Tracker'!$F:$F,'Creditors Tracker'!$G:$G,A245))</f>
        <v/>
      </c>
      <c r="G245" s="51">
        <f>IF(A245="","",B245+C245+D245-E245-F245)</f>
        <v/>
      </c>
      <c r="H245" s="51">
        <f>IF(A245="","",SUM('Stock Master'!$J$2:$J$49))</f>
        <v/>
      </c>
      <c r="I245" s="51">
        <f>IF(A245="","",SUM('Credit Sales Tracker'!$J$2:$J$501))</f>
        <v/>
      </c>
      <c r="J245" s="51">
        <f>IF(A245="","",SUM('Creditors Tracker'!$H$2:$H$501))</f>
        <v/>
      </c>
      <c r="K245" s="49" t="n"/>
    </row>
    <row r="246">
      <c r="A246" s="52" t="n"/>
      <c r="B246" s="51">
        <f>IF(A246="","",G245)</f>
        <v/>
      </c>
      <c r="C246" s="51">
        <f>IF(A246="","",SUMIFS('Daily Sales Log'!$J:$J,'Daily Sales Log'!$A:$A,A246))</f>
        <v/>
      </c>
      <c r="D246" s="51">
        <f>IF(A246="","",SUMIFS('Credit Sales Tracker'!$H:$H,'Credit Sales Tracker'!$I:$I,A246))</f>
        <v/>
      </c>
      <c r="E246" s="51">
        <f>IF(A246="","",SUMIFS('Daily Expenses Log'!$E:$E,'Daily Expenses Log'!$A:$A,A246))</f>
        <v/>
      </c>
      <c r="F246" s="51">
        <f>IF(A246="","",SUMIFS('Creditors Tracker'!$F:$F,'Creditors Tracker'!$G:$G,A246))</f>
        <v/>
      </c>
      <c r="G246" s="51">
        <f>IF(A246="","",B246+C246+D246-E246-F246)</f>
        <v/>
      </c>
      <c r="H246" s="51">
        <f>IF(A246="","",SUM('Stock Master'!$J$2:$J$49))</f>
        <v/>
      </c>
      <c r="I246" s="51">
        <f>IF(A246="","",SUM('Credit Sales Tracker'!$J$2:$J$501))</f>
        <v/>
      </c>
      <c r="J246" s="51">
        <f>IF(A246="","",SUM('Creditors Tracker'!$H$2:$H$501))</f>
        <v/>
      </c>
      <c r="K246" s="49" t="n"/>
    </row>
    <row r="247">
      <c r="A247" s="52" t="n"/>
      <c r="B247" s="51">
        <f>IF(A247="","",G246)</f>
        <v/>
      </c>
      <c r="C247" s="51">
        <f>IF(A247="","",SUMIFS('Daily Sales Log'!$J:$J,'Daily Sales Log'!$A:$A,A247))</f>
        <v/>
      </c>
      <c r="D247" s="51">
        <f>IF(A247="","",SUMIFS('Credit Sales Tracker'!$H:$H,'Credit Sales Tracker'!$I:$I,A247))</f>
        <v/>
      </c>
      <c r="E247" s="51">
        <f>IF(A247="","",SUMIFS('Daily Expenses Log'!$E:$E,'Daily Expenses Log'!$A:$A,A247))</f>
        <v/>
      </c>
      <c r="F247" s="51">
        <f>IF(A247="","",SUMIFS('Creditors Tracker'!$F:$F,'Creditors Tracker'!$G:$G,A247))</f>
        <v/>
      </c>
      <c r="G247" s="51">
        <f>IF(A247="","",B247+C247+D247-E247-F247)</f>
        <v/>
      </c>
      <c r="H247" s="51">
        <f>IF(A247="","",SUM('Stock Master'!$J$2:$J$49))</f>
        <v/>
      </c>
      <c r="I247" s="51">
        <f>IF(A247="","",SUM('Credit Sales Tracker'!$J$2:$J$501))</f>
        <v/>
      </c>
      <c r="J247" s="51">
        <f>IF(A247="","",SUM('Creditors Tracker'!$H$2:$H$501))</f>
        <v/>
      </c>
      <c r="K247" s="49" t="n"/>
    </row>
    <row r="248">
      <c r="A248" s="52" t="n"/>
      <c r="B248" s="51">
        <f>IF(A248="","",G247)</f>
        <v/>
      </c>
      <c r="C248" s="51">
        <f>IF(A248="","",SUMIFS('Daily Sales Log'!$J:$J,'Daily Sales Log'!$A:$A,A248))</f>
        <v/>
      </c>
      <c r="D248" s="51">
        <f>IF(A248="","",SUMIFS('Credit Sales Tracker'!$H:$H,'Credit Sales Tracker'!$I:$I,A248))</f>
        <v/>
      </c>
      <c r="E248" s="51">
        <f>IF(A248="","",SUMIFS('Daily Expenses Log'!$E:$E,'Daily Expenses Log'!$A:$A,A248))</f>
        <v/>
      </c>
      <c r="F248" s="51">
        <f>IF(A248="","",SUMIFS('Creditors Tracker'!$F:$F,'Creditors Tracker'!$G:$G,A248))</f>
        <v/>
      </c>
      <c r="G248" s="51">
        <f>IF(A248="","",B248+C248+D248-E248-F248)</f>
        <v/>
      </c>
      <c r="H248" s="51">
        <f>IF(A248="","",SUM('Stock Master'!$J$2:$J$49))</f>
        <v/>
      </c>
      <c r="I248" s="51">
        <f>IF(A248="","",SUM('Credit Sales Tracker'!$J$2:$J$501))</f>
        <v/>
      </c>
      <c r="J248" s="51">
        <f>IF(A248="","",SUM('Creditors Tracker'!$H$2:$H$501))</f>
        <v/>
      </c>
      <c r="K248" s="49" t="n"/>
    </row>
    <row r="249">
      <c r="A249" s="52" t="n"/>
      <c r="B249" s="51">
        <f>IF(A249="","",G248)</f>
        <v/>
      </c>
      <c r="C249" s="51">
        <f>IF(A249="","",SUMIFS('Daily Sales Log'!$J:$J,'Daily Sales Log'!$A:$A,A249))</f>
        <v/>
      </c>
      <c r="D249" s="51">
        <f>IF(A249="","",SUMIFS('Credit Sales Tracker'!$H:$H,'Credit Sales Tracker'!$I:$I,A249))</f>
        <v/>
      </c>
      <c r="E249" s="51">
        <f>IF(A249="","",SUMIFS('Daily Expenses Log'!$E:$E,'Daily Expenses Log'!$A:$A,A249))</f>
        <v/>
      </c>
      <c r="F249" s="51">
        <f>IF(A249="","",SUMIFS('Creditors Tracker'!$F:$F,'Creditors Tracker'!$G:$G,A249))</f>
        <v/>
      </c>
      <c r="G249" s="51">
        <f>IF(A249="","",B249+C249+D249-E249-F249)</f>
        <v/>
      </c>
      <c r="H249" s="51">
        <f>IF(A249="","",SUM('Stock Master'!$J$2:$J$49))</f>
        <v/>
      </c>
      <c r="I249" s="51">
        <f>IF(A249="","",SUM('Credit Sales Tracker'!$J$2:$J$501))</f>
        <v/>
      </c>
      <c r="J249" s="51">
        <f>IF(A249="","",SUM('Creditors Tracker'!$H$2:$H$501))</f>
        <v/>
      </c>
      <c r="K249" s="49" t="n"/>
    </row>
    <row r="250">
      <c r="A250" s="52" t="n"/>
      <c r="B250" s="51">
        <f>IF(A250="","",G249)</f>
        <v/>
      </c>
      <c r="C250" s="51">
        <f>IF(A250="","",SUMIFS('Daily Sales Log'!$J:$J,'Daily Sales Log'!$A:$A,A250))</f>
        <v/>
      </c>
      <c r="D250" s="51">
        <f>IF(A250="","",SUMIFS('Credit Sales Tracker'!$H:$H,'Credit Sales Tracker'!$I:$I,A250))</f>
        <v/>
      </c>
      <c r="E250" s="51">
        <f>IF(A250="","",SUMIFS('Daily Expenses Log'!$E:$E,'Daily Expenses Log'!$A:$A,A250))</f>
        <v/>
      </c>
      <c r="F250" s="51">
        <f>IF(A250="","",SUMIFS('Creditors Tracker'!$F:$F,'Creditors Tracker'!$G:$G,A250))</f>
        <v/>
      </c>
      <c r="G250" s="51">
        <f>IF(A250="","",B250+C250+D250-E250-F250)</f>
        <v/>
      </c>
      <c r="H250" s="51">
        <f>IF(A250="","",SUM('Stock Master'!$J$2:$J$49))</f>
        <v/>
      </c>
      <c r="I250" s="51">
        <f>IF(A250="","",SUM('Credit Sales Tracker'!$J$2:$J$501))</f>
        <v/>
      </c>
      <c r="J250" s="51">
        <f>IF(A250="","",SUM('Creditors Tracker'!$H$2:$H$501))</f>
        <v/>
      </c>
      <c r="K250" s="49" t="n"/>
    </row>
    <row r="251">
      <c r="A251" s="52" t="n"/>
      <c r="B251" s="51">
        <f>IF(A251="","",G250)</f>
        <v/>
      </c>
      <c r="C251" s="51">
        <f>IF(A251="","",SUMIFS('Daily Sales Log'!$J:$J,'Daily Sales Log'!$A:$A,A251))</f>
        <v/>
      </c>
      <c r="D251" s="51">
        <f>IF(A251="","",SUMIFS('Credit Sales Tracker'!$H:$H,'Credit Sales Tracker'!$I:$I,A251))</f>
        <v/>
      </c>
      <c r="E251" s="51">
        <f>IF(A251="","",SUMIFS('Daily Expenses Log'!$E:$E,'Daily Expenses Log'!$A:$A,A251))</f>
        <v/>
      </c>
      <c r="F251" s="51">
        <f>IF(A251="","",SUMIFS('Creditors Tracker'!$F:$F,'Creditors Tracker'!$G:$G,A251))</f>
        <v/>
      </c>
      <c r="G251" s="51">
        <f>IF(A251="","",B251+C251+D251-E251-F251)</f>
        <v/>
      </c>
      <c r="H251" s="51">
        <f>IF(A251="","",SUM('Stock Master'!$J$2:$J$49))</f>
        <v/>
      </c>
      <c r="I251" s="51">
        <f>IF(A251="","",SUM('Credit Sales Tracker'!$J$2:$J$501))</f>
        <v/>
      </c>
      <c r="J251" s="51">
        <f>IF(A251="","",SUM('Creditors Tracker'!$H$2:$H$501))</f>
        <v/>
      </c>
      <c r="K251" s="49" t="n"/>
    </row>
    <row r="252">
      <c r="A252" s="52" t="n"/>
      <c r="B252" s="51">
        <f>IF(A252="","",G251)</f>
        <v/>
      </c>
      <c r="C252" s="51">
        <f>IF(A252="","",SUMIFS('Daily Sales Log'!$J:$J,'Daily Sales Log'!$A:$A,A252))</f>
        <v/>
      </c>
      <c r="D252" s="51">
        <f>IF(A252="","",SUMIFS('Credit Sales Tracker'!$H:$H,'Credit Sales Tracker'!$I:$I,A252))</f>
        <v/>
      </c>
      <c r="E252" s="51">
        <f>IF(A252="","",SUMIFS('Daily Expenses Log'!$E:$E,'Daily Expenses Log'!$A:$A,A252))</f>
        <v/>
      </c>
      <c r="F252" s="51">
        <f>IF(A252="","",SUMIFS('Creditors Tracker'!$F:$F,'Creditors Tracker'!$G:$G,A252))</f>
        <v/>
      </c>
      <c r="G252" s="51">
        <f>IF(A252="","",B252+C252+D252-E252-F252)</f>
        <v/>
      </c>
      <c r="H252" s="51">
        <f>IF(A252="","",SUM('Stock Master'!$J$2:$J$49))</f>
        <v/>
      </c>
      <c r="I252" s="51">
        <f>IF(A252="","",SUM('Credit Sales Tracker'!$J$2:$J$501))</f>
        <v/>
      </c>
      <c r="J252" s="51">
        <f>IF(A252="","",SUM('Creditors Tracker'!$H$2:$H$501))</f>
        <v/>
      </c>
      <c r="K252" s="49" t="n"/>
    </row>
    <row r="253">
      <c r="A253" s="52" t="n"/>
      <c r="B253" s="51">
        <f>IF(A253="","",G252)</f>
        <v/>
      </c>
      <c r="C253" s="51">
        <f>IF(A253="","",SUMIFS('Daily Sales Log'!$J:$J,'Daily Sales Log'!$A:$A,A253))</f>
        <v/>
      </c>
      <c r="D253" s="51">
        <f>IF(A253="","",SUMIFS('Credit Sales Tracker'!$H:$H,'Credit Sales Tracker'!$I:$I,A253))</f>
        <v/>
      </c>
      <c r="E253" s="51">
        <f>IF(A253="","",SUMIFS('Daily Expenses Log'!$E:$E,'Daily Expenses Log'!$A:$A,A253))</f>
        <v/>
      </c>
      <c r="F253" s="51">
        <f>IF(A253="","",SUMIFS('Creditors Tracker'!$F:$F,'Creditors Tracker'!$G:$G,A253))</f>
        <v/>
      </c>
      <c r="G253" s="51">
        <f>IF(A253="","",B253+C253+D253-E253-F253)</f>
        <v/>
      </c>
      <c r="H253" s="51">
        <f>IF(A253="","",SUM('Stock Master'!$J$2:$J$49))</f>
        <v/>
      </c>
      <c r="I253" s="51">
        <f>IF(A253="","",SUM('Credit Sales Tracker'!$J$2:$J$501))</f>
        <v/>
      </c>
      <c r="J253" s="51">
        <f>IF(A253="","",SUM('Creditors Tracker'!$H$2:$H$501))</f>
        <v/>
      </c>
      <c r="K253" s="49" t="n"/>
    </row>
    <row r="254">
      <c r="A254" s="52" t="n"/>
      <c r="B254" s="51">
        <f>IF(A254="","",G253)</f>
        <v/>
      </c>
      <c r="C254" s="51">
        <f>IF(A254="","",SUMIFS('Daily Sales Log'!$J:$J,'Daily Sales Log'!$A:$A,A254))</f>
        <v/>
      </c>
      <c r="D254" s="51">
        <f>IF(A254="","",SUMIFS('Credit Sales Tracker'!$H:$H,'Credit Sales Tracker'!$I:$I,A254))</f>
        <v/>
      </c>
      <c r="E254" s="51">
        <f>IF(A254="","",SUMIFS('Daily Expenses Log'!$E:$E,'Daily Expenses Log'!$A:$A,A254))</f>
        <v/>
      </c>
      <c r="F254" s="51">
        <f>IF(A254="","",SUMIFS('Creditors Tracker'!$F:$F,'Creditors Tracker'!$G:$G,A254))</f>
        <v/>
      </c>
      <c r="G254" s="51">
        <f>IF(A254="","",B254+C254+D254-E254-F254)</f>
        <v/>
      </c>
      <c r="H254" s="51">
        <f>IF(A254="","",SUM('Stock Master'!$J$2:$J$49))</f>
        <v/>
      </c>
      <c r="I254" s="51">
        <f>IF(A254="","",SUM('Credit Sales Tracker'!$J$2:$J$501))</f>
        <v/>
      </c>
      <c r="J254" s="51">
        <f>IF(A254="","",SUM('Creditors Tracker'!$H$2:$H$501))</f>
        <v/>
      </c>
      <c r="K254" s="49" t="n"/>
    </row>
    <row r="255">
      <c r="A255" s="52" t="n"/>
      <c r="B255" s="51">
        <f>IF(A255="","",G254)</f>
        <v/>
      </c>
      <c r="C255" s="51">
        <f>IF(A255="","",SUMIFS('Daily Sales Log'!$J:$J,'Daily Sales Log'!$A:$A,A255))</f>
        <v/>
      </c>
      <c r="D255" s="51">
        <f>IF(A255="","",SUMIFS('Credit Sales Tracker'!$H:$H,'Credit Sales Tracker'!$I:$I,A255))</f>
        <v/>
      </c>
      <c r="E255" s="51">
        <f>IF(A255="","",SUMIFS('Daily Expenses Log'!$E:$E,'Daily Expenses Log'!$A:$A,A255))</f>
        <v/>
      </c>
      <c r="F255" s="51">
        <f>IF(A255="","",SUMIFS('Creditors Tracker'!$F:$F,'Creditors Tracker'!$G:$G,A255))</f>
        <v/>
      </c>
      <c r="G255" s="51">
        <f>IF(A255="","",B255+C255+D255-E255-F255)</f>
        <v/>
      </c>
      <c r="H255" s="51">
        <f>IF(A255="","",SUM('Stock Master'!$J$2:$J$49))</f>
        <v/>
      </c>
      <c r="I255" s="51">
        <f>IF(A255="","",SUM('Credit Sales Tracker'!$J$2:$J$501))</f>
        <v/>
      </c>
      <c r="J255" s="51">
        <f>IF(A255="","",SUM('Creditors Tracker'!$H$2:$H$501))</f>
        <v/>
      </c>
      <c r="K255" s="49" t="n"/>
    </row>
    <row r="256">
      <c r="A256" s="52" t="n"/>
      <c r="B256" s="51">
        <f>IF(A256="","",G255)</f>
        <v/>
      </c>
      <c r="C256" s="51">
        <f>IF(A256="","",SUMIFS('Daily Sales Log'!$J:$J,'Daily Sales Log'!$A:$A,A256))</f>
        <v/>
      </c>
      <c r="D256" s="51">
        <f>IF(A256="","",SUMIFS('Credit Sales Tracker'!$H:$H,'Credit Sales Tracker'!$I:$I,A256))</f>
        <v/>
      </c>
      <c r="E256" s="51">
        <f>IF(A256="","",SUMIFS('Daily Expenses Log'!$E:$E,'Daily Expenses Log'!$A:$A,A256))</f>
        <v/>
      </c>
      <c r="F256" s="51">
        <f>IF(A256="","",SUMIFS('Creditors Tracker'!$F:$F,'Creditors Tracker'!$G:$G,A256))</f>
        <v/>
      </c>
      <c r="G256" s="51">
        <f>IF(A256="","",B256+C256+D256-E256-F256)</f>
        <v/>
      </c>
      <c r="H256" s="51">
        <f>IF(A256="","",SUM('Stock Master'!$J$2:$J$49))</f>
        <v/>
      </c>
      <c r="I256" s="51">
        <f>IF(A256="","",SUM('Credit Sales Tracker'!$J$2:$J$501))</f>
        <v/>
      </c>
      <c r="J256" s="51">
        <f>IF(A256="","",SUM('Creditors Tracker'!$H$2:$H$501))</f>
        <v/>
      </c>
      <c r="K256" s="49" t="n"/>
    </row>
    <row r="257">
      <c r="A257" s="52" t="n"/>
      <c r="B257" s="51">
        <f>IF(A257="","",G256)</f>
        <v/>
      </c>
      <c r="C257" s="51">
        <f>IF(A257="","",SUMIFS('Daily Sales Log'!$J:$J,'Daily Sales Log'!$A:$A,A257))</f>
        <v/>
      </c>
      <c r="D257" s="51">
        <f>IF(A257="","",SUMIFS('Credit Sales Tracker'!$H:$H,'Credit Sales Tracker'!$I:$I,A257))</f>
        <v/>
      </c>
      <c r="E257" s="51">
        <f>IF(A257="","",SUMIFS('Daily Expenses Log'!$E:$E,'Daily Expenses Log'!$A:$A,A257))</f>
        <v/>
      </c>
      <c r="F257" s="51">
        <f>IF(A257="","",SUMIFS('Creditors Tracker'!$F:$F,'Creditors Tracker'!$G:$G,A257))</f>
        <v/>
      </c>
      <c r="G257" s="51">
        <f>IF(A257="","",B257+C257+D257-E257-F257)</f>
        <v/>
      </c>
      <c r="H257" s="51">
        <f>IF(A257="","",SUM('Stock Master'!$J$2:$J$49))</f>
        <v/>
      </c>
      <c r="I257" s="51">
        <f>IF(A257="","",SUM('Credit Sales Tracker'!$J$2:$J$501))</f>
        <v/>
      </c>
      <c r="J257" s="51">
        <f>IF(A257="","",SUM('Creditors Tracker'!$H$2:$H$501))</f>
        <v/>
      </c>
      <c r="K257" s="49" t="n"/>
    </row>
    <row r="258">
      <c r="A258" s="52" t="n"/>
      <c r="B258" s="51">
        <f>IF(A258="","",G257)</f>
        <v/>
      </c>
      <c r="C258" s="51">
        <f>IF(A258="","",SUMIFS('Daily Sales Log'!$J:$J,'Daily Sales Log'!$A:$A,A258))</f>
        <v/>
      </c>
      <c r="D258" s="51">
        <f>IF(A258="","",SUMIFS('Credit Sales Tracker'!$H:$H,'Credit Sales Tracker'!$I:$I,A258))</f>
        <v/>
      </c>
      <c r="E258" s="51">
        <f>IF(A258="","",SUMIFS('Daily Expenses Log'!$E:$E,'Daily Expenses Log'!$A:$A,A258))</f>
        <v/>
      </c>
      <c r="F258" s="51">
        <f>IF(A258="","",SUMIFS('Creditors Tracker'!$F:$F,'Creditors Tracker'!$G:$G,A258))</f>
        <v/>
      </c>
      <c r="G258" s="51">
        <f>IF(A258="","",B258+C258+D258-E258-F258)</f>
        <v/>
      </c>
      <c r="H258" s="51">
        <f>IF(A258="","",SUM('Stock Master'!$J$2:$J$49))</f>
        <v/>
      </c>
      <c r="I258" s="51">
        <f>IF(A258="","",SUM('Credit Sales Tracker'!$J$2:$J$501))</f>
        <v/>
      </c>
      <c r="J258" s="51">
        <f>IF(A258="","",SUM('Creditors Tracker'!$H$2:$H$501))</f>
        <v/>
      </c>
      <c r="K258" s="49" t="n"/>
    </row>
    <row r="259">
      <c r="A259" s="52" t="n"/>
      <c r="B259" s="51">
        <f>IF(A259="","",G258)</f>
        <v/>
      </c>
      <c r="C259" s="51">
        <f>IF(A259="","",SUMIFS('Daily Sales Log'!$J:$J,'Daily Sales Log'!$A:$A,A259))</f>
        <v/>
      </c>
      <c r="D259" s="51">
        <f>IF(A259="","",SUMIFS('Credit Sales Tracker'!$H:$H,'Credit Sales Tracker'!$I:$I,A259))</f>
        <v/>
      </c>
      <c r="E259" s="51">
        <f>IF(A259="","",SUMIFS('Daily Expenses Log'!$E:$E,'Daily Expenses Log'!$A:$A,A259))</f>
        <v/>
      </c>
      <c r="F259" s="51">
        <f>IF(A259="","",SUMIFS('Creditors Tracker'!$F:$F,'Creditors Tracker'!$G:$G,A259))</f>
        <v/>
      </c>
      <c r="G259" s="51">
        <f>IF(A259="","",B259+C259+D259-E259-F259)</f>
        <v/>
      </c>
      <c r="H259" s="51">
        <f>IF(A259="","",SUM('Stock Master'!$J$2:$J$49))</f>
        <v/>
      </c>
      <c r="I259" s="51">
        <f>IF(A259="","",SUM('Credit Sales Tracker'!$J$2:$J$501))</f>
        <v/>
      </c>
      <c r="J259" s="51">
        <f>IF(A259="","",SUM('Creditors Tracker'!$H$2:$H$501))</f>
        <v/>
      </c>
      <c r="K259" s="49" t="n"/>
    </row>
    <row r="260">
      <c r="A260" s="52" t="n"/>
      <c r="B260" s="51">
        <f>IF(A260="","",G259)</f>
        <v/>
      </c>
      <c r="C260" s="51">
        <f>IF(A260="","",SUMIFS('Daily Sales Log'!$J:$J,'Daily Sales Log'!$A:$A,A260))</f>
        <v/>
      </c>
      <c r="D260" s="51">
        <f>IF(A260="","",SUMIFS('Credit Sales Tracker'!$H:$H,'Credit Sales Tracker'!$I:$I,A260))</f>
        <v/>
      </c>
      <c r="E260" s="51">
        <f>IF(A260="","",SUMIFS('Daily Expenses Log'!$E:$E,'Daily Expenses Log'!$A:$A,A260))</f>
        <v/>
      </c>
      <c r="F260" s="51">
        <f>IF(A260="","",SUMIFS('Creditors Tracker'!$F:$F,'Creditors Tracker'!$G:$G,A260))</f>
        <v/>
      </c>
      <c r="G260" s="51">
        <f>IF(A260="","",B260+C260+D260-E260-F260)</f>
        <v/>
      </c>
      <c r="H260" s="51">
        <f>IF(A260="","",SUM('Stock Master'!$J$2:$J$49))</f>
        <v/>
      </c>
      <c r="I260" s="51">
        <f>IF(A260="","",SUM('Credit Sales Tracker'!$J$2:$J$501))</f>
        <v/>
      </c>
      <c r="J260" s="51">
        <f>IF(A260="","",SUM('Creditors Tracker'!$H$2:$H$501))</f>
        <v/>
      </c>
      <c r="K260" s="49" t="n"/>
    </row>
    <row r="261">
      <c r="A261" s="52" t="n"/>
      <c r="B261" s="51">
        <f>IF(A261="","",G260)</f>
        <v/>
      </c>
      <c r="C261" s="51">
        <f>IF(A261="","",SUMIFS('Daily Sales Log'!$J:$J,'Daily Sales Log'!$A:$A,A261))</f>
        <v/>
      </c>
      <c r="D261" s="51">
        <f>IF(A261="","",SUMIFS('Credit Sales Tracker'!$H:$H,'Credit Sales Tracker'!$I:$I,A261))</f>
        <v/>
      </c>
      <c r="E261" s="51">
        <f>IF(A261="","",SUMIFS('Daily Expenses Log'!$E:$E,'Daily Expenses Log'!$A:$A,A261))</f>
        <v/>
      </c>
      <c r="F261" s="51">
        <f>IF(A261="","",SUMIFS('Creditors Tracker'!$F:$F,'Creditors Tracker'!$G:$G,A261))</f>
        <v/>
      </c>
      <c r="G261" s="51">
        <f>IF(A261="","",B261+C261+D261-E261-F261)</f>
        <v/>
      </c>
      <c r="H261" s="51">
        <f>IF(A261="","",SUM('Stock Master'!$J$2:$J$49))</f>
        <v/>
      </c>
      <c r="I261" s="51">
        <f>IF(A261="","",SUM('Credit Sales Tracker'!$J$2:$J$501))</f>
        <v/>
      </c>
      <c r="J261" s="51">
        <f>IF(A261="","",SUM('Creditors Tracker'!$H$2:$H$501))</f>
        <v/>
      </c>
      <c r="K261" s="49" t="n"/>
    </row>
    <row r="262">
      <c r="A262" s="52" t="n"/>
      <c r="B262" s="51">
        <f>IF(A262="","",G261)</f>
        <v/>
      </c>
      <c r="C262" s="51">
        <f>IF(A262="","",SUMIFS('Daily Sales Log'!$J:$J,'Daily Sales Log'!$A:$A,A262))</f>
        <v/>
      </c>
      <c r="D262" s="51">
        <f>IF(A262="","",SUMIFS('Credit Sales Tracker'!$H:$H,'Credit Sales Tracker'!$I:$I,A262))</f>
        <v/>
      </c>
      <c r="E262" s="51">
        <f>IF(A262="","",SUMIFS('Daily Expenses Log'!$E:$E,'Daily Expenses Log'!$A:$A,A262))</f>
        <v/>
      </c>
      <c r="F262" s="51">
        <f>IF(A262="","",SUMIFS('Creditors Tracker'!$F:$F,'Creditors Tracker'!$G:$G,A262))</f>
        <v/>
      </c>
      <c r="G262" s="51">
        <f>IF(A262="","",B262+C262+D262-E262-F262)</f>
        <v/>
      </c>
      <c r="H262" s="51">
        <f>IF(A262="","",SUM('Stock Master'!$J$2:$J$49))</f>
        <v/>
      </c>
      <c r="I262" s="51">
        <f>IF(A262="","",SUM('Credit Sales Tracker'!$J$2:$J$501))</f>
        <v/>
      </c>
      <c r="J262" s="51">
        <f>IF(A262="","",SUM('Creditors Tracker'!$H$2:$H$501))</f>
        <v/>
      </c>
      <c r="K262" s="49" t="n"/>
    </row>
    <row r="263">
      <c r="A263" s="52" t="n"/>
      <c r="B263" s="51">
        <f>IF(A263="","",G262)</f>
        <v/>
      </c>
      <c r="C263" s="51">
        <f>IF(A263="","",SUMIFS('Daily Sales Log'!$J:$J,'Daily Sales Log'!$A:$A,A263))</f>
        <v/>
      </c>
      <c r="D263" s="51">
        <f>IF(A263="","",SUMIFS('Credit Sales Tracker'!$H:$H,'Credit Sales Tracker'!$I:$I,A263))</f>
        <v/>
      </c>
      <c r="E263" s="51">
        <f>IF(A263="","",SUMIFS('Daily Expenses Log'!$E:$E,'Daily Expenses Log'!$A:$A,A263))</f>
        <v/>
      </c>
      <c r="F263" s="51">
        <f>IF(A263="","",SUMIFS('Creditors Tracker'!$F:$F,'Creditors Tracker'!$G:$G,A263))</f>
        <v/>
      </c>
      <c r="G263" s="51">
        <f>IF(A263="","",B263+C263+D263-E263-F263)</f>
        <v/>
      </c>
      <c r="H263" s="51">
        <f>IF(A263="","",SUM('Stock Master'!$J$2:$J$49))</f>
        <v/>
      </c>
      <c r="I263" s="51">
        <f>IF(A263="","",SUM('Credit Sales Tracker'!$J$2:$J$501))</f>
        <v/>
      </c>
      <c r="J263" s="51">
        <f>IF(A263="","",SUM('Creditors Tracker'!$H$2:$H$501))</f>
        <v/>
      </c>
      <c r="K263" s="49" t="n"/>
    </row>
    <row r="264">
      <c r="A264" s="52" t="n"/>
      <c r="B264" s="51">
        <f>IF(A264="","",G263)</f>
        <v/>
      </c>
      <c r="C264" s="51">
        <f>IF(A264="","",SUMIFS('Daily Sales Log'!$J:$J,'Daily Sales Log'!$A:$A,A264))</f>
        <v/>
      </c>
      <c r="D264" s="51">
        <f>IF(A264="","",SUMIFS('Credit Sales Tracker'!$H:$H,'Credit Sales Tracker'!$I:$I,A264))</f>
        <v/>
      </c>
      <c r="E264" s="51">
        <f>IF(A264="","",SUMIFS('Daily Expenses Log'!$E:$E,'Daily Expenses Log'!$A:$A,A264))</f>
        <v/>
      </c>
      <c r="F264" s="51">
        <f>IF(A264="","",SUMIFS('Creditors Tracker'!$F:$F,'Creditors Tracker'!$G:$G,A264))</f>
        <v/>
      </c>
      <c r="G264" s="51">
        <f>IF(A264="","",B264+C264+D264-E264-F264)</f>
        <v/>
      </c>
      <c r="H264" s="51">
        <f>IF(A264="","",SUM('Stock Master'!$J$2:$J$49))</f>
        <v/>
      </c>
      <c r="I264" s="51">
        <f>IF(A264="","",SUM('Credit Sales Tracker'!$J$2:$J$501))</f>
        <v/>
      </c>
      <c r="J264" s="51">
        <f>IF(A264="","",SUM('Creditors Tracker'!$H$2:$H$501))</f>
        <v/>
      </c>
      <c r="K264" s="49" t="n"/>
    </row>
    <row r="265">
      <c r="A265" s="52" t="n"/>
      <c r="B265" s="51">
        <f>IF(A265="","",G264)</f>
        <v/>
      </c>
      <c r="C265" s="51">
        <f>IF(A265="","",SUMIFS('Daily Sales Log'!$J:$J,'Daily Sales Log'!$A:$A,A265))</f>
        <v/>
      </c>
      <c r="D265" s="51">
        <f>IF(A265="","",SUMIFS('Credit Sales Tracker'!$H:$H,'Credit Sales Tracker'!$I:$I,A265))</f>
        <v/>
      </c>
      <c r="E265" s="51">
        <f>IF(A265="","",SUMIFS('Daily Expenses Log'!$E:$E,'Daily Expenses Log'!$A:$A,A265))</f>
        <v/>
      </c>
      <c r="F265" s="51">
        <f>IF(A265="","",SUMIFS('Creditors Tracker'!$F:$F,'Creditors Tracker'!$G:$G,A265))</f>
        <v/>
      </c>
      <c r="G265" s="51">
        <f>IF(A265="","",B265+C265+D265-E265-F265)</f>
        <v/>
      </c>
      <c r="H265" s="51">
        <f>IF(A265="","",SUM('Stock Master'!$J$2:$J$49))</f>
        <v/>
      </c>
      <c r="I265" s="51">
        <f>IF(A265="","",SUM('Credit Sales Tracker'!$J$2:$J$501))</f>
        <v/>
      </c>
      <c r="J265" s="51">
        <f>IF(A265="","",SUM('Creditors Tracker'!$H$2:$H$501))</f>
        <v/>
      </c>
      <c r="K265" s="49" t="n"/>
    </row>
    <row r="266">
      <c r="A266" s="52" t="n"/>
      <c r="B266" s="51">
        <f>IF(A266="","",G265)</f>
        <v/>
      </c>
      <c r="C266" s="51">
        <f>IF(A266="","",SUMIFS('Daily Sales Log'!$J:$J,'Daily Sales Log'!$A:$A,A266))</f>
        <v/>
      </c>
      <c r="D266" s="51">
        <f>IF(A266="","",SUMIFS('Credit Sales Tracker'!$H:$H,'Credit Sales Tracker'!$I:$I,A266))</f>
        <v/>
      </c>
      <c r="E266" s="51">
        <f>IF(A266="","",SUMIFS('Daily Expenses Log'!$E:$E,'Daily Expenses Log'!$A:$A,A266))</f>
        <v/>
      </c>
      <c r="F266" s="51">
        <f>IF(A266="","",SUMIFS('Creditors Tracker'!$F:$F,'Creditors Tracker'!$G:$G,A266))</f>
        <v/>
      </c>
      <c r="G266" s="51">
        <f>IF(A266="","",B266+C266+D266-E266-F266)</f>
        <v/>
      </c>
      <c r="H266" s="51">
        <f>IF(A266="","",SUM('Stock Master'!$J$2:$J$49))</f>
        <v/>
      </c>
      <c r="I266" s="51">
        <f>IF(A266="","",SUM('Credit Sales Tracker'!$J$2:$J$501))</f>
        <v/>
      </c>
      <c r="J266" s="51">
        <f>IF(A266="","",SUM('Creditors Tracker'!$H$2:$H$501))</f>
        <v/>
      </c>
      <c r="K266" s="49" t="n"/>
    </row>
    <row r="267">
      <c r="A267" s="52" t="n"/>
      <c r="B267" s="51">
        <f>IF(A267="","",G266)</f>
        <v/>
      </c>
      <c r="C267" s="51">
        <f>IF(A267="","",SUMIFS('Daily Sales Log'!$J:$J,'Daily Sales Log'!$A:$A,A267))</f>
        <v/>
      </c>
      <c r="D267" s="51">
        <f>IF(A267="","",SUMIFS('Credit Sales Tracker'!$H:$H,'Credit Sales Tracker'!$I:$I,A267))</f>
        <v/>
      </c>
      <c r="E267" s="51">
        <f>IF(A267="","",SUMIFS('Daily Expenses Log'!$E:$E,'Daily Expenses Log'!$A:$A,A267))</f>
        <v/>
      </c>
      <c r="F267" s="51">
        <f>IF(A267="","",SUMIFS('Creditors Tracker'!$F:$F,'Creditors Tracker'!$G:$G,A267))</f>
        <v/>
      </c>
      <c r="G267" s="51">
        <f>IF(A267="","",B267+C267+D267-E267-F267)</f>
        <v/>
      </c>
      <c r="H267" s="51">
        <f>IF(A267="","",SUM('Stock Master'!$J$2:$J$49))</f>
        <v/>
      </c>
      <c r="I267" s="51">
        <f>IF(A267="","",SUM('Credit Sales Tracker'!$J$2:$J$501))</f>
        <v/>
      </c>
      <c r="J267" s="51">
        <f>IF(A267="","",SUM('Creditors Tracker'!$H$2:$H$501))</f>
        <v/>
      </c>
      <c r="K267" s="49" t="n"/>
    </row>
    <row r="268">
      <c r="A268" s="52" t="n"/>
      <c r="B268" s="51">
        <f>IF(A268="","",G267)</f>
        <v/>
      </c>
      <c r="C268" s="51">
        <f>IF(A268="","",SUMIFS('Daily Sales Log'!$J:$J,'Daily Sales Log'!$A:$A,A268))</f>
        <v/>
      </c>
      <c r="D268" s="51">
        <f>IF(A268="","",SUMIFS('Credit Sales Tracker'!$H:$H,'Credit Sales Tracker'!$I:$I,A268))</f>
        <v/>
      </c>
      <c r="E268" s="51">
        <f>IF(A268="","",SUMIFS('Daily Expenses Log'!$E:$E,'Daily Expenses Log'!$A:$A,A268))</f>
        <v/>
      </c>
      <c r="F268" s="51">
        <f>IF(A268="","",SUMIFS('Creditors Tracker'!$F:$F,'Creditors Tracker'!$G:$G,A268))</f>
        <v/>
      </c>
      <c r="G268" s="51">
        <f>IF(A268="","",B268+C268+D268-E268-F268)</f>
        <v/>
      </c>
      <c r="H268" s="51">
        <f>IF(A268="","",SUM('Stock Master'!$J$2:$J$49))</f>
        <v/>
      </c>
      <c r="I268" s="51">
        <f>IF(A268="","",SUM('Credit Sales Tracker'!$J$2:$J$501))</f>
        <v/>
      </c>
      <c r="J268" s="51">
        <f>IF(A268="","",SUM('Creditors Tracker'!$H$2:$H$501))</f>
        <v/>
      </c>
      <c r="K268" s="49" t="n"/>
    </row>
    <row r="269">
      <c r="A269" s="52" t="n"/>
      <c r="B269" s="51">
        <f>IF(A269="","",G268)</f>
        <v/>
      </c>
      <c r="C269" s="51">
        <f>IF(A269="","",SUMIFS('Daily Sales Log'!$J:$J,'Daily Sales Log'!$A:$A,A269))</f>
        <v/>
      </c>
      <c r="D269" s="51">
        <f>IF(A269="","",SUMIFS('Credit Sales Tracker'!$H:$H,'Credit Sales Tracker'!$I:$I,A269))</f>
        <v/>
      </c>
      <c r="E269" s="51">
        <f>IF(A269="","",SUMIFS('Daily Expenses Log'!$E:$E,'Daily Expenses Log'!$A:$A,A269))</f>
        <v/>
      </c>
      <c r="F269" s="51">
        <f>IF(A269="","",SUMIFS('Creditors Tracker'!$F:$F,'Creditors Tracker'!$G:$G,A269))</f>
        <v/>
      </c>
      <c r="G269" s="51">
        <f>IF(A269="","",B269+C269+D269-E269-F269)</f>
        <v/>
      </c>
      <c r="H269" s="51">
        <f>IF(A269="","",SUM('Stock Master'!$J$2:$J$49))</f>
        <v/>
      </c>
      <c r="I269" s="51">
        <f>IF(A269="","",SUM('Credit Sales Tracker'!$J$2:$J$501))</f>
        <v/>
      </c>
      <c r="J269" s="51">
        <f>IF(A269="","",SUM('Creditors Tracker'!$H$2:$H$501))</f>
        <v/>
      </c>
      <c r="K269" s="49" t="n"/>
    </row>
    <row r="270">
      <c r="A270" s="52" t="n"/>
      <c r="B270" s="51">
        <f>IF(A270="","",G269)</f>
        <v/>
      </c>
      <c r="C270" s="51">
        <f>IF(A270="","",SUMIFS('Daily Sales Log'!$J:$J,'Daily Sales Log'!$A:$A,A270))</f>
        <v/>
      </c>
      <c r="D270" s="51">
        <f>IF(A270="","",SUMIFS('Credit Sales Tracker'!$H:$H,'Credit Sales Tracker'!$I:$I,A270))</f>
        <v/>
      </c>
      <c r="E270" s="51">
        <f>IF(A270="","",SUMIFS('Daily Expenses Log'!$E:$E,'Daily Expenses Log'!$A:$A,A270))</f>
        <v/>
      </c>
      <c r="F270" s="51">
        <f>IF(A270="","",SUMIFS('Creditors Tracker'!$F:$F,'Creditors Tracker'!$G:$G,A270))</f>
        <v/>
      </c>
      <c r="G270" s="51">
        <f>IF(A270="","",B270+C270+D270-E270-F270)</f>
        <v/>
      </c>
      <c r="H270" s="51">
        <f>IF(A270="","",SUM('Stock Master'!$J$2:$J$49))</f>
        <v/>
      </c>
      <c r="I270" s="51">
        <f>IF(A270="","",SUM('Credit Sales Tracker'!$J$2:$J$501))</f>
        <v/>
      </c>
      <c r="J270" s="51">
        <f>IF(A270="","",SUM('Creditors Tracker'!$H$2:$H$501))</f>
        <v/>
      </c>
      <c r="K270" s="49" t="n"/>
    </row>
    <row r="271">
      <c r="A271" s="52" t="n"/>
      <c r="B271" s="51">
        <f>IF(A271="","",G270)</f>
        <v/>
      </c>
      <c r="C271" s="51">
        <f>IF(A271="","",SUMIFS('Daily Sales Log'!$J:$J,'Daily Sales Log'!$A:$A,A271))</f>
        <v/>
      </c>
      <c r="D271" s="51">
        <f>IF(A271="","",SUMIFS('Credit Sales Tracker'!$H:$H,'Credit Sales Tracker'!$I:$I,A271))</f>
        <v/>
      </c>
      <c r="E271" s="51">
        <f>IF(A271="","",SUMIFS('Daily Expenses Log'!$E:$E,'Daily Expenses Log'!$A:$A,A271))</f>
        <v/>
      </c>
      <c r="F271" s="51">
        <f>IF(A271="","",SUMIFS('Creditors Tracker'!$F:$F,'Creditors Tracker'!$G:$G,A271))</f>
        <v/>
      </c>
      <c r="G271" s="51">
        <f>IF(A271="","",B271+C271+D271-E271-F271)</f>
        <v/>
      </c>
      <c r="H271" s="51">
        <f>IF(A271="","",SUM('Stock Master'!$J$2:$J$49))</f>
        <v/>
      </c>
      <c r="I271" s="51">
        <f>IF(A271="","",SUM('Credit Sales Tracker'!$J$2:$J$501))</f>
        <v/>
      </c>
      <c r="J271" s="51">
        <f>IF(A271="","",SUM('Creditors Tracker'!$H$2:$H$501))</f>
        <v/>
      </c>
      <c r="K271" s="49" t="n"/>
    </row>
    <row r="272">
      <c r="A272" s="52" t="n"/>
      <c r="B272" s="51">
        <f>IF(A272="","",G271)</f>
        <v/>
      </c>
      <c r="C272" s="51">
        <f>IF(A272="","",SUMIFS('Daily Sales Log'!$J:$J,'Daily Sales Log'!$A:$A,A272))</f>
        <v/>
      </c>
      <c r="D272" s="51">
        <f>IF(A272="","",SUMIFS('Credit Sales Tracker'!$H:$H,'Credit Sales Tracker'!$I:$I,A272))</f>
        <v/>
      </c>
      <c r="E272" s="51">
        <f>IF(A272="","",SUMIFS('Daily Expenses Log'!$E:$E,'Daily Expenses Log'!$A:$A,A272))</f>
        <v/>
      </c>
      <c r="F272" s="51">
        <f>IF(A272="","",SUMIFS('Creditors Tracker'!$F:$F,'Creditors Tracker'!$G:$G,A272))</f>
        <v/>
      </c>
      <c r="G272" s="51">
        <f>IF(A272="","",B272+C272+D272-E272-F272)</f>
        <v/>
      </c>
      <c r="H272" s="51">
        <f>IF(A272="","",SUM('Stock Master'!$J$2:$J$49))</f>
        <v/>
      </c>
      <c r="I272" s="51">
        <f>IF(A272="","",SUM('Credit Sales Tracker'!$J$2:$J$501))</f>
        <v/>
      </c>
      <c r="J272" s="51">
        <f>IF(A272="","",SUM('Creditors Tracker'!$H$2:$H$501))</f>
        <v/>
      </c>
      <c r="K272" s="49" t="n"/>
    </row>
    <row r="273">
      <c r="A273" s="52" t="n"/>
      <c r="B273" s="51">
        <f>IF(A273="","",G272)</f>
        <v/>
      </c>
      <c r="C273" s="51">
        <f>IF(A273="","",SUMIFS('Daily Sales Log'!$J:$J,'Daily Sales Log'!$A:$A,A273))</f>
        <v/>
      </c>
      <c r="D273" s="51">
        <f>IF(A273="","",SUMIFS('Credit Sales Tracker'!$H:$H,'Credit Sales Tracker'!$I:$I,A273))</f>
        <v/>
      </c>
      <c r="E273" s="51">
        <f>IF(A273="","",SUMIFS('Daily Expenses Log'!$E:$E,'Daily Expenses Log'!$A:$A,A273))</f>
        <v/>
      </c>
      <c r="F273" s="51">
        <f>IF(A273="","",SUMIFS('Creditors Tracker'!$F:$F,'Creditors Tracker'!$G:$G,A273))</f>
        <v/>
      </c>
      <c r="G273" s="51">
        <f>IF(A273="","",B273+C273+D273-E273-F273)</f>
        <v/>
      </c>
      <c r="H273" s="51">
        <f>IF(A273="","",SUM('Stock Master'!$J$2:$J$49))</f>
        <v/>
      </c>
      <c r="I273" s="51">
        <f>IF(A273="","",SUM('Credit Sales Tracker'!$J$2:$J$501))</f>
        <v/>
      </c>
      <c r="J273" s="51">
        <f>IF(A273="","",SUM('Creditors Tracker'!$H$2:$H$501))</f>
        <v/>
      </c>
      <c r="K273" s="49" t="n"/>
    </row>
    <row r="274">
      <c r="A274" s="52" t="n"/>
      <c r="B274" s="51">
        <f>IF(A274="","",G273)</f>
        <v/>
      </c>
      <c r="C274" s="51">
        <f>IF(A274="","",SUMIFS('Daily Sales Log'!$J:$J,'Daily Sales Log'!$A:$A,A274))</f>
        <v/>
      </c>
      <c r="D274" s="51">
        <f>IF(A274="","",SUMIFS('Credit Sales Tracker'!$H:$H,'Credit Sales Tracker'!$I:$I,A274))</f>
        <v/>
      </c>
      <c r="E274" s="51">
        <f>IF(A274="","",SUMIFS('Daily Expenses Log'!$E:$E,'Daily Expenses Log'!$A:$A,A274))</f>
        <v/>
      </c>
      <c r="F274" s="51">
        <f>IF(A274="","",SUMIFS('Creditors Tracker'!$F:$F,'Creditors Tracker'!$G:$G,A274))</f>
        <v/>
      </c>
      <c r="G274" s="51">
        <f>IF(A274="","",B274+C274+D274-E274-F274)</f>
        <v/>
      </c>
      <c r="H274" s="51">
        <f>IF(A274="","",SUM('Stock Master'!$J$2:$J$49))</f>
        <v/>
      </c>
      <c r="I274" s="51">
        <f>IF(A274="","",SUM('Credit Sales Tracker'!$J$2:$J$501))</f>
        <v/>
      </c>
      <c r="J274" s="51">
        <f>IF(A274="","",SUM('Creditors Tracker'!$H$2:$H$501))</f>
        <v/>
      </c>
      <c r="K274" s="49" t="n"/>
    </row>
    <row r="275">
      <c r="A275" s="52" t="n"/>
      <c r="B275" s="51">
        <f>IF(A275="","",G274)</f>
        <v/>
      </c>
      <c r="C275" s="51">
        <f>IF(A275="","",SUMIFS('Daily Sales Log'!$J:$J,'Daily Sales Log'!$A:$A,A275))</f>
        <v/>
      </c>
      <c r="D275" s="51">
        <f>IF(A275="","",SUMIFS('Credit Sales Tracker'!$H:$H,'Credit Sales Tracker'!$I:$I,A275))</f>
        <v/>
      </c>
      <c r="E275" s="51">
        <f>IF(A275="","",SUMIFS('Daily Expenses Log'!$E:$E,'Daily Expenses Log'!$A:$A,A275))</f>
        <v/>
      </c>
      <c r="F275" s="51">
        <f>IF(A275="","",SUMIFS('Creditors Tracker'!$F:$F,'Creditors Tracker'!$G:$G,A275))</f>
        <v/>
      </c>
      <c r="G275" s="51">
        <f>IF(A275="","",B275+C275+D275-E275-F275)</f>
        <v/>
      </c>
      <c r="H275" s="51">
        <f>IF(A275="","",SUM('Stock Master'!$J$2:$J$49))</f>
        <v/>
      </c>
      <c r="I275" s="51">
        <f>IF(A275="","",SUM('Credit Sales Tracker'!$J$2:$J$501))</f>
        <v/>
      </c>
      <c r="J275" s="51">
        <f>IF(A275="","",SUM('Creditors Tracker'!$H$2:$H$501))</f>
        <v/>
      </c>
      <c r="K275" s="49" t="n"/>
    </row>
    <row r="276">
      <c r="A276" s="52" t="n"/>
      <c r="B276" s="51">
        <f>IF(A276="","",G275)</f>
        <v/>
      </c>
      <c r="C276" s="51">
        <f>IF(A276="","",SUMIFS('Daily Sales Log'!$J:$J,'Daily Sales Log'!$A:$A,A276))</f>
        <v/>
      </c>
      <c r="D276" s="51">
        <f>IF(A276="","",SUMIFS('Credit Sales Tracker'!$H:$H,'Credit Sales Tracker'!$I:$I,A276))</f>
        <v/>
      </c>
      <c r="E276" s="51">
        <f>IF(A276="","",SUMIFS('Daily Expenses Log'!$E:$E,'Daily Expenses Log'!$A:$A,A276))</f>
        <v/>
      </c>
      <c r="F276" s="51">
        <f>IF(A276="","",SUMIFS('Creditors Tracker'!$F:$F,'Creditors Tracker'!$G:$G,A276))</f>
        <v/>
      </c>
      <c r="G276" s="51">
        <f>IF(A276="","",B276+C276+D276-E276-F276)</f>
        <v/>
      </c>
      <c r="H276" s="51">
        <f>IF(A276="","",SUM('Stock Master'!$J$2:$J$49))</f>
        <v/>
      </c>
      <c r="I276" s="51">
        <f>IF(A276="","",SUM('Credit Sales Tracker'!$J$2:$J$501))</f>
        <v/>
      </c>
      <c r="J276" s="51">
        <f>IF(A276="","",SUM('Creditors Tracker'!$H$2:$H$501))</f>
        <v/>
      </c>
      <c r="K276" s="49" t="n"/>
    </row>
    <row r="277">
      <c r="A277" s="52" t="n"/>
      <c r="B277" s="51">
        <f>IF(A277="","",G276)</f>
        <v/>
      </c>
      <c r="C277" s="51">
        <f>IF(A277="","",SUMIFS('Daily Sales Log'!$J:$J,'Daily Sales Log'!$A:$A,A277))</f>
        <v/>
      </c>
      <c r="D277" s="51">
        <f>IF(A277="","",SUMIFS('Credit Sales Tracker'!$H:$H,'Credit Sales Tracker'!$I:$I,A277))</f>
        <v/>
      </c>
      <c r="E277" s="51">
        <f>IF(A277="","",SUMIFS('Daily Expenses Log'!$E:$E,'Daily Expenses Log'!$A:$A,A277))</f>
        <v/>
      </c>
      <c r="F277" s="51">
        <f>IF(A277="","",SUMIFS('Creditors Tracker'!$F:$F,'Creditors Tracker'!$G:$G,A277))</f>
        <v/>
      </c>
      <c r="G277" s="51">
        <f>IF(A277="","",B277+C277+D277-E277-F277)</f>
        <v/>
      </c>
      <c r="H277" s="51">
        <f>IF(A277="","",SUM('Stock Master'!$J$2:$J$49))</f>
        <v/>
      </c>
      <c r="I277" s="51">
        <f>IF(A277="","",SUM('Credit Sales Tracker'!$J$2:$J$501))</f>
        <v/>
      </c>
      <c r="J277" s="51">
        <f>IF(A277="","",SUM('Creditors Tracker'!$H$2:$H$501))</f>
        <v/>
      </c>
      <c r="K277" s="49" t="n"/>
    </row>
    <row r="278">
      <c r="A278" s="52" t="n"/>
      <c r="B278" s="51">
        <f>IF(A278="","",G277)</f>
        <v/>
      </c>
      <c r="C278" s="51">
        <f>IF(A278="","",SUMIFS('Daily Sales Log'!$J:$J,'Daily Sales Log'!$A:$A,A278))</f>
        <v/>
      </c>
      <c r="D278" s="51">
        <f>IF(A278="","",SUMIFS('Credit Sales Tracker'!$H:$H,'Credit Sales Tracker'!$I:$I,A278))</f>
        <v/>
      </c>
      <c r="E278" s="51">
        <f>IF(A278="","",SUMIFS('Daily Expenses Log'!$E:$E,'Daily Expenses Log'!$A:$A,A278))</f>
        <v/>
      </c>
      <c r="F278" s="51">
        <f>IF(A278="","",SUMIFS('Creditors Tracker'!$F:$F,'Creditors Tracker'!$G:$G,A278))</f>
        <v/>
      </c>
      <c r="G278" s="51">
        <f>IF(A278="","",B278+C278+D278-E278-F278)</f>
        <v/>
      </c>
      <c r="H278" s="51">
        <f>IF(A278="","",SUM('Stock Master'!$J$2:$J$49))</f>
        <v/>
      </c>
      <c r="I278" s="51">
        <f>IF(A278="","",SUM('Credit Sales Tracker'!$J$2:$J$501))</f>
        <v/>
      </c>
      <c r="J278" s="51">
        <f>IF(A278="","",SUM('Creditors Tracker'!$H$2:$H$501))</f>
        <v/>
      </c>
      <c r="K278" s="49" t="n"/>
    </row>
    <row r="279">
      <c r="A279" s="52" t="n"/>
      <c r="B279" s="51">
        <f>IF(A279="","",G278)</f>
        <v/>
      </c>
      <c r="C279" s="51">
        <f>IF(A279="","",SUMIFS('Daily Sales Log'!$J:$J,'Daily Sales Log'!$A:$A,A279))</f>
        <v/>
      </c>
      <c r="D279" s="51">
        <f>IF(A279="","",SUMIFS('Credit Sales Tracker'!$H:$H,'Credit Sales Tracker'!$I:$I,A279))</f>
        <v/>
      </c>
      <c r="E279" s="51">
        <f>IF(A279="","",SUMIFS('Daily Expenses Log'!$E:$E,'Daily Expenses Log'!$A:$A,A279))</f>
        <v/>
      </c>
      <c r="F279" s="51">
        <f>IF(A279="","",SUMIFS('Creditors Tracker'!$F:$F,'Creditors Tracker'!$G:$G,A279))</f>
        <v/>
      </c>
      <c r="G279" s="51">
        <f>IF(A279="","",B279+C279+D279-E279-F279)</f>
        <v/>
      </c>
      <c r="H279" s="51">
        <f>IF(A279="","",SUM('Stock Master'!$J$2:$J$49))</f>
        <v/>
      </c>
      <c r="I279" s="51">
        <f>IF(A279="","",SUM('Credit Sales Tracker'!$J$2:$J$501))</f>
        <v/>
      </c>
      <c r="J279" s="51">
        <f>IF(A279="","",SUM('Creditors Tracker'!$H$2:$H$501))</f>
        <v/>
      </c>
      <c r="K279" s="49" t="n"/>
    </row>
    <row r="280">
      <c r="A280" s="52" t="n"/>
      <c r="B280" s="51">
        <f>IF(A280="","",G279)</f>
        <v/>
      </c>
      <c r="C280" s="51">
        <f>IF(A280="","",SUMIFS('Daily Sales Log'!$J:$J,'Daily Sales Log'!$A:$A,A280))</f>
        <v/>
      </c>
      <c r="D280" s="51">
        <f>IF(A280="","",SUMIFS('Credit Sales Tracker'!$H:$H,'Credit Sales Tracker'!$I:$I,A280))</f>
        <v/>
      </c>
      <c r="E280" s="51">
        <f>IF(A280="","",SUMIFS('Daily Expenses Log'!$E:$E,'Daily Expenses Log'!$A:$A,A280))</f>
        <v/>
      </c>
      <c r="F280" s="51">
        <f>IF(A280="","",SUMIFS('Creditors Tracker'!$F:$F,'Creditors Tracker'!$G:$G,A280))</f>
        <v/>
      </c>
      <c r="G280" s="51">
        <f>IF(A280="","",B280+C280+D280-E280-F280)</f>
        <v/>
      </c>
      <c r="H280" s="51">
        <f>IF(A280="","",SUM('Stock Master'!$J$2:$J$49))</f>
        <v/>
      </c>
      <c r="I280" s="51">
        <f>IF(A280="","",SUM('Credit Sales Tracker'!$J$2:$J$501))</f>
        <v/>
      </c>
      <c r="J280" s="51">
        <f>IF(A280="","",SUM('Creditors Tracker'!$H$2:$H$501))</f>
        <v/>
      </c>
      <c r="K280" s="49" t="n"/>
    </row>
    <row r="281">
      <c r="A281" s="52" t="n"/>
      <c r="B281" s="51">
        <f>IF(A281="","",G280)</f>
        <v/>
      </c>
      <c r="C281" s="51">
        <f>IF(A281="","",SUMIFS('Daily Sales Log'!$J:$J,'Daily Sales Log'!$A:$A,A281))</f>
        <v/>
      </c>
      <c r="D281" s="51">
        <f>IF(A281="","",SUMIFS('Credit Sales Tracker'!$H:$H,'Credit Sales Tracker'!$I:$I,A281))</f>
        <v/>
      </c>
      <c r="E281" s="51">
        <f>IF(A281="","",SUMIFS('Daily Expenses Log'!$E:$E,'Daily Expenses Log'!$A:$A,A281))</f>
        <v/>
      </c>
      <c r="F281" s="51">
        <f>IF(A281="","",SUMIFS('Creditors Tracker'!$F:$F,'Creditors Tracker'!$G:$G,A281))</f>
        <v/>
      </c>
      <c r="G281" s="51">
        <f>IF(A281="","",B281+C281+D281-E281-F281)</f>
        <v/>
      </c>
      <c r="H281" s="51">
        <f>IF(A281="","",SUM('Stock Master'!$J$2:$J$49))</f>
        <v/>
      </c>
      <c r="I281" s="51">
        <f>IF(A281="","",SUM('Credit Sales Tracker'!$J$2:$J$501))</f>
        <v/>
      </c>
      <c r="J281" s="51">
        <f>IF(A281="","",SUM('Creditors Tracker'!$H$2:$H$501))</f>
        <v/>
      </c>
      <c r="K281" s="49" t="n"/>
    </row>
    <row r="282">
      <c r="A282" s="52" t="n"/>
      <c r="B282" s="51">
        <f>IF(A282="","",G281)</f>
        <v/>
      </c>
      <c r="C282" s="51">
        <f>IF(A282="","",SUMIFS('Daily Sales Log'!$J:$J,'Daily Sales Log'!$A:$A,A282))</f>
        <v/>
      </c>
      <c r="D282" s="51">
        <f>IF(A282="","",SUMIFS('Credit Sales Tracker'!$H:$H,'Credit Sales Tracker'!$I:$I,A282))</f>
        <v/>
      </c>
      <c r="E282" s="51">
        <f>IF(A282="","",SUMIFS('Daily Expenses Log'!$E:$E,'Daily Expenses Log'!$A:$A,A282))</f>
        <v/>
      </c>
      <c r="F282" s="51">
        <f>IF(A282="","",SUMIFS('Creditors Tracker'!$F:$F,'Creditors Tracker'!$G:$G,A282))</f>
        <v/>
      </c>
      <c r="G282" s="51">
        <f>IF(A282="","",B282+C282+D282-E282-F282)</f>
        <v/>
      </c>
      <c r="H282" s="51">
        <f>IF(A282="","",SUM('Stock Master'!$J$2:$J$49))</f>
        <v/>
      </c>
      <c r="I282" s="51">
        <f>IF(A282="","",SUM('Credit Sales Tracker'!$J$2:$J$501))</f>
        <v/>
      </c>
      <c r="J282" s="51">
        <f>IF(A282="","",SUM('Creditors Tracker'!$H$2:$H$501))</f>
        <v/>
      </c>
      <c r="K282" s="49" t="n"/>
    </row>
    <row r="283">
      <c r="A283" s="52" t="n"/>
      <c r="B283" s="51">
        <f>IF(A283="","",G282)</f>
        <v/>
      </c>
      <c r="C283" s="51">
        <f>IF(A283="","",SUMIFS('Daily Sales Log'!$J:$J,'Daily Sales Log'!$A:$A,A283))</f>
        <v/>
      </c>
      <c r="D283" s="51">
        <f>IF(A283="","",SUMIFS('Credit Sales Tracker'!$H:$H,'Credit Sales Tracker'!$I:$I,A283))</f>
        <v/>
      </c>
      <c r="E283" s="51">
        <f>IF(A283="","",SUMIFS('Daily Expenses Log'!$E:$E,'Daily Expenses Log'!$A:$A,A283))</f>
        <v/>
      </c>
      <c r="F283" s="51">
        <f>IF(A283="","",SUMIFS('Creditors Tracker'!$F:$F,'Creditors Tracker'!$G:$G,A283))</f>
        <v/>
      </c>
      <c r="G283" s="51">
        <f>IF(A283="","",B283+C283+D283-E283-F283)</f>
        <v/>
      </c>
      <c r="H283" s="51">
        <f>IF(A283="","",SUM('Stock Master'!$J$2:$J$49))</f>
        <v/>
      </c>
      <c r="I283" s="51">
        <f>IF(A283="","",SUM('Credit Sales Tracker'!$J$2:$J$501))</f>
        <v/>
      </c>
      <c r="J283" s="51">
        <f>IF(A283="","",SUM('Creditors Tracker'!$H$2:$H$501))</f>
        <v/>
      </c>
      <c r="K283" s="49" t="n"/>
    </row>
    <row r="284">
      <c r="A284" s="52" t="n"/>
      <c r="B284" s="51">
        <f>IF(A284="","",G283)</f>
        <v/>
      </c>
      <c r="C284" s="51">
        <f>IF(A284="","",SUMIFS('Daily Sales Log'!$J:$J,'Daily Sales Log'!$A:$A,A284))</f>
        <v/>
      </c>
      <c r="D284" s="51">
        <f>IF(A284="","",SUMIFS('Credit Sales Tracker'!$H:$H,'Credit Sales Tracker'!$I:$I,A284))</f>
        <v/>
      </c>
      <c r="E284" s="51">
        <f>IF(A284="","",SUMIFS('Daily Expenses Log'!$E:$E,'Daily Expenses Log'!$A:$A,A284))</f>
        <v/>
      </c>
      <c r="F284" s="51">
        <f>IF(A284="","",SUMIFS('Creditors Tracker'!$F:$F,'Creditors Tracker'!$G:$G,A284))</f>
        <v/>
      </c>
      <c r="G284" s="51">
        <f>IF(A284="","",B284+C284+D284-E284-F284)</f>
        <v/>
      </c>
      <c r="H284" s="51">
        <f>IF(A284="","",SUM('Stock Master'!$J$2:$J$49))</f>
        <v/>
      </c>
      <c r="I284" s="51">
        <f>IF(A284="","",SUM('Credit Sales Tracker'!$J$2:$J$501))</f>
        <v/>
      </c>
      <c r="J284" s="51">
        <f>IF(A284="","",SUM('Creditors Tracker'!$H$2:$H$501))</f>
        <v/>
      </c>
      <c r="K284" s="49" t="n"/>
    </row>
    <row r="285">
      <c r="A285" s="52" t="n"/>
      <c r="B285" s="51">
        <f>IF(A285="","",G284)</f>
        <v/>
      </c>
      <c r="C285" s="51">
        <f>IF(A285="","",SUMIFS('Daily Sales Log'!$J:$J,'Daily Sales Log'!$A:$A,A285))</f>
        <v/>
      </c>
      <c r="D285" s="51">
        <f>IF(A285="","",SUMIFS('Credit Sales Tracker'!$H:$H,'Credit Sales Tracker'!$I:$I,A285))</f>
        <v/>
      </c>
      <c r="E285" s="51">
        <f>IF(A285="","",SUMIFS('Daily Expenses Log'!$E:$E,'Daily Expenses Log'!$A:$A,A285))</f>
        <v/>
      </c>
      <c r="F285" s="51">
        <f>IF(A285="","",SUMIFS('Creditors Tracker'!$F:$F,'Creditors Tracker'!$G:$G,A285))</f>
        <v/>
      </c>
      <c r="G285" s="51">
        <f>IF(A285="","",B285+C285+D285-E285-F285)</f>
        <v/>
      </c>
      <c r="H285" s="51">
        <f>IF(A285="","",SUM('Stock Master'!$J$2:$J$49))</f>
        <v/>
      </c>
      <c r="I285" s="51">
        <f>IF(A285="","",SUM('Credit Sales Tracker'!$J$2:$J$501))</f>
        <v/>
      </c>
      <c r="J285" s="51">
        <f>IF(A285="","",SUM('Creditors Tracker'!$H$2:$H$501))</f>
        <v/>
      </c>
      <c r="K285" s="49" t="n"/>
    </row>
    <row r="286">
      <c r="A286" s="52" t="n"/>
      <c r="B286" s="51">
        <f>IF(A286="","",G285)</f>
        <v/>
      </c>
      <c r="C286" s="51">
        <f>IF(A286="","",SUMIFS('Daily Sales Log'!$J:$J,'Daily Sales Log'!$A:$A,A286))</f>
        <v/>
      </c>
      <c r="D286" s="51">
        <f>IF(A286="","",SUMIFS('Credit Sales Tracker'!$H:$H,'Credit Sales Tracker'!$I:$I,A286))</f>
        <v/>
      </c>
      <c r="E286" s="51">
        <f>IF(A286="","",SUMIFS('Daily Expenses Log'!$E:$E,'Daily Expenses Log'!$A:$A,A286))</f>
        <v/>
      </c>
      <c r="F286" s="51">
        <f>IF(A286="","",SUMIFS('Creditors Tracker'!$F:$F,'Creditors Tracker'!$G:$G,A286))</f>
        <v/>
      </c>
      <c r="G286" s="51">
        <f>IF(A286="","",B286+C286+D286-E286-F286)</f>
        <v/>
      </c>
      <c r="H286" s="51">
        <f>IF(A286="","",SUM('Stock Master'!$J$2:$J$49))</f>
        <v/>
      </c>
      <c r="I286" s="51">
        <f>IF(A286="","",SUM('Credit Sales Tracker'!$J$2:$J$501))</f>
        <v/>
      </c>
      <c r="J286" s="51">
        <f>IF(A286="","",SUM('Creditors Tracker'!$H$2:$H$501))</f>
        <v/>
      </c>
      <c r="K286" s="49" t="n"/>
    </row>
    <row r="287">
      <c r="A287" s="52" t="n"/>
      <c r="B287" s="51">
        <f>IF(A287="","",G286)</f>
        <v/>
      </c>
      <c r="C287" s="51">
        <f>IF(A287="","",SUMIFS('Daily Sales Log'!$J:$J,'Daily Sales Log'!$A:$A,A287))</f>
        <v/>
      </c>
      <c r="D287" s="51">
        <f>IF(A287="","",SUMIFS('Credit Sales Tracker'!$H:$H,'Credit Sales Tracker'!$I:$I,A287))</f>
        <v/>
      </c>
      <c r="E287" s="51">
        <f>IF(A287="","",SUMIFS('Daily Expenses Log'!$E:$E,'Daily Expenses Log'!$A:$A,A287))</f>
        <v/>
      </c>
      <c r="F287" s="51">
        <f>IF(A287="","",SUMIFS('Creditors Tracker'!$F:$F,'Creditors Tracker'!$G:$G,A287))</f>
        <v/>
      </c>
      <c r="G287" s="51">
        <f>IF(A287="","",B287+C287+D287-E287-F287)</f>
        <v/>
      </c>
      <c r="H287" s="51">
        <f>IF(A287="","",SUM('Stock Master'!$J$2:$J$49))</f>
        <v/>
      </c>
      <c r="I287" s="51">
        <f>IF(A287="","",SUM('Credit Sales Tracker'!$J$2:$J$501))</f>
        <v/>
      </c>
      <c r="J287" s="51">
        <f>IF(A287="","",SUM('Creditors Tracker'!$H$2:$H$501))</f>
        <v/>
      </c>
      <c r="K287" s="49" t="n"/>
    </row>
    <row r="288">
      <c r="A288" s="52" t="n"/>
      <c r="B288" s="51">
        <f>IF(A288="","",G287)</f>
        <v/>
      </c>
      <c r="C288" s="51">
        <f>IF(A288="","",SUMIFS('Daily Sales Log'!$J:$J,'Daily Sales Log'!$A:$A,A288))</f>
        <v/>
      </c>
      <c r="D288" s="51">
        <f>IF(A288="","",SUMIFS('Credit Sales Tracker'!$H:$H,'Credit Sales Tracker'!$I:$I,A288))</f>
        <v/>
      </c>
      <c r="E288" s="51">
        <f>IF(A288="","",SUMIFS('Daily Expenses Log'!$E:$E,'Daily Expenses Log'!$A:$A,A288))</f>
        <v/>
      </c>
      <c r="F288" s="51">
        <f>IF(A288="","",SUMIFS('Creditors Tracker'!$F:$F,'Creditors Tracker'!$G:$G,A288))</f>
        <v/>
      </c>
      <c r="G288" s="51">
        <f>IF(A288="","",B288+C288+D288-E288-F288)</f>
        <v/>
      </c>
      <c r="H288" s="51">
        <f>IF(A288="","",SUM('Stock Master'!$J$2:$J$49))</f>
        <v/>
      </c>
      <c r="I288" s="51">
        <f>IF(A288="","",SUM('Credit Sales Tracker'!$J$2:$J$501))</f>
        <v/>
      </c>
      <c r="J288" s="51">
        <f>IF(A288="","",SUM('Creditors Tracker'!$H$2:$H$501))</f>
        <v/>
      </c>
      <c r="K288" s="49" t="n"/>
    </row>
    <row r="289">
      <c r="A289" s="52" t="n"/>
      <c r="B289" s="51">
        <f>IF(A289="","",G288)</f>
        <v/>
      </c>
      <c r="C289" s="51">
        <f>IF(A289="","",SUMIFS('Daily Sales Log'!$J:$J,'Daily Sales Log'!$A:$A,A289))</f>
        <v/>
      </c>
      <c r="D289" s="51">
        <f>IF(A289="","",SUMIFS('Credit Sales Tracker'!$H:$H,'Credit Sales Tracker'!$I:$I,A289))</f>
        <v/>
      </c>
      <c r="E289" s="51">
        <f>IF(A289="","",SUMIFS('Daily Expenses Log'!$E:$E,'Daily Expenses Log'!$A:$A,A289))</f>
        <v/>
      </c>
      <c r="F289" s="51">
        <f>IF(A289="","",SUMIFS('Creditors Tracker'!$F:$F,'Creditors Tracker'!$G:$G,A289))</f>
        <v/>
      </c>
      <c r="G289" s="51">
        <f>IF(A289="","",B289+C289+D289-E289-F289)</f>
        <v/>
      </c>
      <c r="H289" s="51">
        <f>IF(A289="","",SUM('Stock Master'!$J$2:$J$49))</f>
        <v/>
      </c>
      <c r="I289" s="51">
        <f>IF(A289="","",SUM('Credit Sales Tracker'!$J$2:$J$501))</f>
        <v/>
      </c>
      <c r="J289" s="51">
        <f>IF(A289="","",SUM('Creditors Tracker'!$H$2:$H$501))</f>
        <v/>
      </c>
      <c r="K289" s="49" t="n"/>
    </row>
    <row r="290">
      <c r="A290" s="52" t="n"/>
      <c r="B290" s="51">
        <f>IF(A290="","",G289)</f>
        <v/>
      </c>
      <c r="C290" s="51">
        <f>IF(A290="","",SUMIFS('Daily Sales Log'!$J:$J,'Daily Sales Log'!$A:$A,A290))</f>
        <v/>
      </c>
      <c r="D290" s="51">
        <f>IF(A290="","",SUMIFS('Credit Sales Tracker'!$H:$H,'Credit Sales Tracker'!$I:$I,A290))</f>
        <v/>
      </c>
      <c r="E290" s="51">
        <f>IF(A290="","",SUMIFS('Daily Expenses Log'!$E:$E,'Daily Expenses Log'!$A:$A,A290))</f>
        <v/>
      </c>
      <c r="F290" s="51">
        <f>IF(A290="","",SUMIFS('Creditors Tracker'!$F:$F,'Creditors Tracker'!$G:$G,A290))</f>
        <v/>
      </c>
      <c r="G290" s="51">
        <f>IF(A290="","",B290+C290+D290-E290-F290)</f>
        <v/>
      </c>
      <c r="H290" s="51">
        <f>IF(A290="","",SUM('Stock Master'!$J$2:$J$49))</f>
        <v/>
      </c>
      <c r="I290" s="51">
        <f>IF(A290="","",SUM('Credit Sales Tracker'!$J$2:$J$501))</f>
        <v/>
      </c>
      <c r="J290" s="51">
        <f>IF(A290="","",SUM('Creditors Tracker'!$H$2:$H$501))</f>
        <v/>
      </c>
      <c r="K290" s="49" t="n"/>
    </row>
    <row r="291">
      <c r="A291" s="52" t="n"/>
      <c r="B291" s="51">
        <f>IF(A291="","",G290)</f>
        <v/>
      </c>
      <c r="C291" s="51">
        <f>IF(A291="","",SUMIFS('Daily Sales Log'!$J:$J,'Daily Sales Log'!$A:$A,A291))</f>
        <v/>
      </c>
      <c r="D291" s="51">
        <f>IF(A291="","",SUMIFS('Credit Sales Tracker'!$H:$H,'Credit Sales Tracker'!$I:$I,A291))</f>
        <v/>
      </c>
      <c r="E291" s="51">
        <f>IF(A291="","",SUMIFS('Daily Expenses Log'!$E:$E,'Daily Expenses Log'!$A:$A,A291))</f>
        <v/>
      </c>
      <c r="F291" s="51">
        <f>IF(A291="","",SUMIFS('Creditors Tracker'!$F:$F,'Creditors Tracker'!$G:$G,A291))</f>
        <v/>
      </c>
      <c r="G291" s="51">
        <f>IF(A291="","",B291+C291+D291-E291-F291)</f>
        <v/>
      </c>
      <c r="H291" s="51">
        <f>IF(A291="","",SUM('Stock Master'!$J$2:$J$49))</f>
        <v/>
      </c>
      <c r="I291" s="51">
        <f>IF(A291="","",SUM('Credit Sales Tracker'!$J$2:$J$501))</f>
        <v/>
      </c>
      <c r="J291" s="51">
        <f>IF(A291="","",SUM('Creditors Tracker'!$H$2:$H$501))</f>
        <v/>
      </c>
      <c r="K291" s="49" t="n"/>
    </row>
    <row r="292">
      <c r="A292" s="52" t="n"/>
      <c r="B292" s="51">
        <f>IF(A292="","",G291)</f>
        <v/>
      </c>
      <c r="C292" s="51">
        <f>IF(A292="","",SUMIFS('Daily Sales Log'!$J:$J,'Daily Sales Log'!$A:$A,A292))</f>
        <v/>
      </c>
      <c r="D292" s="51">
        <f>IF(A292="","",SUMIFS('Credit Sales Tracker'!$H:$H,'Credit Sales Tracker'!$I:$I,A292))</f>
        <v/>
      </c>
      <c r="E292" s="51">
        <f>IF(A292="","",SUMIFS('Daily Expenses Log'!$E:$E,'Daily Expenses Log'!$A:$A,A292))</f>
        <v/>
      </c>
      <c r="F292" s="51">
        <f>IF(A292="","",SUMIFS('Creditors Tracker'!$F:$F,'Creditors Tracker'!$G:$G,A292))</f>
        <v/>
      </c>
      <c r="G292" s="51">
        <f>IF(A292="","",B292+C292+D292-E292-F292)</f>
        <v/>
      </c>
      <c r="H292" s="51">
        <f>IF(A292="","",SUM('Stock Master'!$J$2:$J$49))</f>
        <v/>
      </c>
      <c r="I292" s="51">
        <f>IF(A292="","",SUM('Credit Sales Tracker'!$J$2:$J$501))</f>
        <v/>
      </c>
      <c r="J292" s="51">
        <f>IF(A292="","",SUM('Creditors Tracker'!$H$2:$H$501))</f>
        <v/>
      </c>
      <c r="K292" s="49" t="n"/>
    </row>
    <row r="293">
      <c r="A293" s="52" t="n"/>
      <c r="B293" s="51">
        <f>IF(A293="","",G292)</f>
        <v/>
      </c>
      <c r="C293" s="51">
        <f>IF(A293="","",SUMIFS('Daily Sales Log'!$J:$J,'Daily Sales Log'!$A:$A,A293))</f>
        <v/>
      </c>
      <c r="D293" s="51">
        <f>IF(A293="","",SUMIFS('Credit Sales Tracker'!$H:$H,'Credit Sales Tracker'!$I:$I,A293))</f>
        <v/>
      </c>
      <c r="E293" s="51">
        <f>IF(A293="","",SUMIFS('Daily Expenses Log'!$E:$E,'Daily Expenses Log'!$A:$A,A293))</f>
        <v/>
      </c>
      <c r="F293" s="51">
        <f>IF(A293="","",SUMIFS('Creditors Tracker'!$F:$F,'Creditors Tracker'!$G:$G,A293))</f>
        <v/>
      </c>
      <c r="G293" s="51">
        <f>IF(A293="","",B293+C293+D293-E293-F293)</f>
        <v/>
      </c>
      <c r="H293" s="51">
        <f>IF(A293="","",SUM('Stock Master'!$J$2:$J$49))</f>
        <v/>
      </c>
      <c r="I293" s="51">
        <f>IF(A293="","",SUM('Credit Sales Tracker'!$J$2:$J$501))</f>
        <v/>
      </c>
      <c r="J293" s="51">
        <f>IF(A293="","",SUM('Creditors Tracker'!$H$2:$H$501))</f>
        <v/>
      </c>
      <c r="K293" s="49" t="n"/>
    </row>
    <row r="294">
      <c r="A294" s="52" t="n"/>
      <c r="B294" s="51">
        <f>IF(A294="","",G293)</f>
        <v/>
      </c>
      <c r="C294" s="51">
        <f>IF(A294="","",SUMIFS('Daily Sales Log'!$J:$J,'Daily Sales Log'!$A:$A,A294))</f>
        <v/>
      </c>
      <c r="D294" s="51">
        <f>IF(A294="","",SUMIFS('Credit Sales Tracker'!$H:$H,'Credit Sales Tracker'!$I:$I,A294))</f>
        <v/>
      </c>
      <c r="E294" s="51">
        <f>IF(A294="","",SUMIFS('Daily Expenses Log'!$E:$E,'Daily Expenses Log'!$A:$A,A294))</f>
        <v/>
      </c>
      <c r="F294" s="51">
        <f>IF(A294="","",SUMIFS('Creditors Tracker'!$F:$F,'Creditors Tracker'!$G:$G,A294))</f>
        <v/>
      </c>
      <c r="G294" s="51">
        <f>IF(A294="","",B294+C294+D294-E294-F294)</f>
        <v/>
      </c>
      <c r="H294" s="51">
        <f>IF(A294="","",SUM('Stock Master'!$J$2:$J$49))</f>
        <v/>
      </c>
      <c r="I294" s="51">
        <f>IF(A294="","",SUM('Credit Sales Tracker'!$J$2:$J$501))</f>
        <v/>
      </c>
      <c r="J294" s="51">
        <f>IF(A294="","",SUM('Creditors Tracker'!$H$2:$H$501))</f>
        <v/>
      </c>
      <c r="K294" s="49" t="n"/>
    </row>
    <row r="295">
      <c r="A295" s="52" t="n"/>
      <c r="B295" s="51">
        <f>IF(A295="","",G294)</f>
        <v/>
      </c>
      <c r="C295" s="51">
        <f>IF(A295="","",SUMIFS('Daily Sales Log'!$J:$J,'Daily Sales Log'!$A:$A,A295))</f>
        <v/>
      </c>
      <c r="D295" s="51">
        <f>IF(A295="","",SUMIFS('Credit Sales Tracker'!$H:$H,'Credit Sales Tracker'!$I:$I,A295))</f>
        <v/>
      </c>
      <c r="E295" s="51">
        <f>IF(A295="","",SUMIFS('Daily Expenses Log'!$E:$E,'Daily Expenses Log'!$A:$A,A295))</f>
        <v/>
      </c>
      <c r="F295" s="51">
        <f>IF(A295="","",SUMIFS('Creditors Tracker'!$F:$F,'Creditors Tracker'!$G:$G,A295))</f>
        <v/>
      </c>
      <c r="G295" s="51">
        <f>IF(A295="","",B295+C295+D295-E295-F295)</f>
        <v/>
      </c>
      <c r="H295" s="51">
        <f>IF(A295="","",SUM('Stock Master'!$J$2:$J$49))</f>
        <v/>
      </c>
      <c r="I295" s="51">
        <f>IF(A295="","",SUM('Credit Sales Tracker'!$J$2:$J$501))</f>
        <v/>
      </c>
      <c r="J295" s="51">
        <f>IF(A295="","",SUM('Creditors Tracker'!$H$2:$H$501))</f>
        <v/>
      </c>
      <c r="K295" s="49" t="n"/>
    </row>
    <row r="296">
      <c r="A296" s="52" t="n"/>
      <c r="B296" s="51">
        <f>IF(A296="","",G295)</f>
        <v/>
      </c>
      <c r="C296" s="51">
        <f>IF(A296="","",SUMIFS('Daily Sales Log'!$J:$J,'Daily Sales Log'!$A:$A,A296))</f>
        <v/>
      </c>
      <c r="D296" s="51">
        <f>IF(A296="","",SUMIFS('Credit Sales Tracker'!$H:$H,'Credit Sales Tracker'!$I:$I,A296))</f>
        <v/>
      </c>
      <c r="E296" s="51">
        <f>IF(A296="","",SUMIFS('Daily Expenses Log'!$E:$E,'Daily Expenses Log'!$A:$A,A296))</f>
        <v/>
      </c>
      <c r="F296" s="51">
        <f>IF(A296="","",SUMIFS('Creditors Tracker'!$F:$F,'Creditors Tracker'!$G:$G,A296))</f>
        <v/>
      </c>
      <c r="G296" s="51">
        <f>IF(A296="","",B296+C296+D296-E296-F296)</f>
        <v/>
      </c>
      <c r="H296" s="51">
        <f>IF(A296="","",SUM('Stock Master'!$J$2:$J$49))</f>
        <v/>
      </c>
      <c r="I296" s="51">
        <f>IF(A296="","",SUM('Credit Sales Tracker'!$J$2:$J$501))</f>
        <v/>
      </c>
      <c r="J296" s="51">
        <f>IF(A296="","",SUM('Creditors Tracker'!$H$2:$H$501))</f>
        <v/>
      </c>
      <c r="K296" s="49" t="n"/>
    </row>
    <row r="297">
      <c r="A297" s="52" t="n"/>
      <c r="B297" s="51">
        <f>IF(A297="","",G296)</f>
        <v/>
      </c>
      <c r="C297" s="51">
        <f>IF(A297="","",SUMIFS('Daily Sales Log'!$J:$J,'Daily Sales Log'!$A:$A,A297))</f>
        <v/>
      </c>
      <c r="D297" s="51">
        <f>IF(A297="","",SUMIFS('Credit Sales Tracker'!$H:$H,'Credit Sales Tracker'!$I:$I,A297))</f>
        <v/>
      </c>
      <c r="E297" s="51">
        <f>IF(A297="","",SUMIFS('Daily Expenses Log'!$E:$E,'Daily Expenses Log'!$A:$A,A297))</f>
        <v/>
      </c>
      <c r="F297" s="51">
        <f>IF(A297="","",SUMIFS('Creditors Tracker'!$F:$F,'Creditors Tracker'!$G:$G,A297))</f>
        <v/>
      </c>
      <c r="G297" s="51">
        <f>IF(A297="","",B297+C297+D297-E297-F297)</f>
        <v/>
      </c>
      <c r="H297" s="51">
        <f>IF(A297="","",SUM('Stock Master'!$J$2:$J$49))</f>
        <v/>
      </c>
      <c r="I297" s="51">
        <f>IF(A297="","",SUM('Credit Sales Tracker'!$J$2:$J$501))</f>
        <v/>
      </c>
      <c r="J297" s="51">
        <f>IF(A297="","",SUM('Creditors Tracker'!$H$2:$H$501))</f>
        <v/>
      </c>
      <c r="K297" s="49" t="n"/>
    </row>
    <row r="298">
      <c r="A298" s="52" t="n"/>
      <c r="B298" s="51">
        <f>IF(A298="","",G297)</f>
        <v/>
      </c>
      <c r="C298" s="51">
        <f>IF(A298="","",SUMIFS('Daily Sales Log'!$J:$J,'Daily Sales Log'!$A:$A,A298))</f>
        <v/>
      </c>
      <c r="D298" s="51">
        <f>IF(A298="","",SUMIFS('Credit Sales Tracker'!$H:$H,'Credit Sales Tracker'!$I:$I,A298))</f>
        <v/>
      </c>
      <c r="E298" s="51">
        <f>IF(A298="","",SUMIFS('Daily Expenses Log'!$E:$E,'Daily Expenses Log'!$A:$A,A298))</f>
        <v/>
      </c>
      <c r="F298" s="51">
        <f>IF(A298="","",SUMIFS('Creditors Tracker'!$F:$F,'Creditors Tracker'!$G:$G,A298))</f>
        <v/>
      </c>
      <c r="G298" s="51">
        <f>IF(A298="","",B298+C298+D298-E298-F298)</f>
        <v/>
      </c>
      <c r="H298" s="51">
        <f>IF(A298="","",SUM('Stock Master'!$J$2:$J$49))</f>
        <v/>
      </c>
      <c r="I298" s="51">
        <f>IF(A298="","",SUM('Credit Sales Tracker'!$J$2:$J$501))</f>
        <v/>
      </c>
      <c r="J298" s="51">
        <f>IF(A298="","",SUM('Creditors Tracker'!$H$2:$H$501))</f>
        <v/>
      </c>
      <c r="K298" s="49" t="n"/>
    </row>
    <row r="299">
      <c r="A299" s="52" t="n"/>
      <c r="B299" s="51">
        <f>IF(A299="","",G298)</f>
        <v/>
      </c>
      <c r="C299" s="51">
        <f>IF(A299="","",SUMIFS('Daily Sales Log'!$J:$J,'Daily Sales Log'!$A:$A,A299))</f>
        <v/>
      </c>
      <c r="D299" s="51">
        <f>IF(A299="","",SUMIFS('Credit Sales Tracker'!$H:$H,'Credit Sales Tracker'!$I:$I,A299))</f>
        <v/>
      </c>
      <c r="E299" s="51">
        <f>IF(A299="","",SUMIFS('Daily Expenses Log'!$E:$E,'Daily Expenses Log'!$A:$A,A299))</f>
        <v/>
      </c>
      <c r="F299" s="51">
        <f>IF(A299="","",SUMIFS('Creditors Tracker'!$F:$F,'Creditors Tracker'!$G:$G,A299))</f>
        <v/>
      </c>
      <c r="G299" s="51">
        <f>IF(A299="","",B299+C299+D299-E299-F299)</f>
        <v/>
      </c>
      <c r="H299" s="51">
        <f>IF(A299="","",SUM('Stock Master'!$J$2:$J$49))</f>
        <v/>
      </c>
      <c r="I299" s="51">
        <f>IF(A299="","",SUM('Credit Sales Tracker'!$J$2:$J$501))</f>
        <v/>
      </c>
      <c r="J299" s="51">
        <f>IF(A299="","",SUM('Creditors Tracker'!$H$2:$H$501))</f>
        <v/>
      </c>
      <c r="K299" s="49" t="n"/>
    </row>
    <row r="300">
      <c r="A300" s="52" t="n"/>
      <c r="B300" s="51">
        <f>IF(A300="","",G299)</f>
        <v/>
      </c>
      <c r="C300" s="51">
        <f>IF(A300="","",SUMIFS('Daily Sales Log'!$J:$J,'Daily Sales Log'!$A:$A,A300))</f>
        <v/>
      </c>
      <c r="D300" s="51">
        <f>IF(A300="","",SUMIFS('Credit Sales Tracker'!$H:$H,'Credit Sales Tracker'!$I:$I,A300))</f>
        <v/>
      </c>
      <c r="E300" s="51">
        <f>IF(A300="","",SUMIFS('Daily Expenses Log'!$E:$E,'Daily Expenses Log'!$A:$A,A300))</f>
        <v/>
      </c>
      <c r="F300" s="51">
        <f>IF(A300="","",SUMIFS('Creditors Tracker'!$F:$F,'Creditors Tracker'!$G:$G,A300))</f>
        <v/>
      </c>
      <c r="G300" s="51">
        <f>IF(A300="","",B300+C300+D300-E300-F300)</f>
        <v/>
      </c>
      <c r="H300" s="51">
        <f>IF(A300="","",SUM('Stock Master'!$J$2:$J$49))</f>
        <v/>
      </c>
      <c r="I300" s="51">
        <f>IF(A300="","",SUM('Credit Sales Tracker'!$J$2:$J$501))</f>
        <v/>
      </c>
      <c r="J300" s="51">
        <f>IF(A300="","",SUM('Creditors Tracker'!$H$2:$H$501))</f>
        <v/>
      </c>
      <c r="K300" s="49" t="n"/>
    </row>
    <row r="301">
      <c r="A301" s="52" t="n"/>
      <c r="B301" s="51">
        <f>IF(A301="","",G300)</f>
        <v/>
      </c>
      <c r="C301" s="51">
        <f>IF(A301="","",SUMIFS('Daily Sales Log'!$J:$J,'Daily Sales Log'!$A:$A,A301))</f>
        <v/>
      </c>
      <c r="D301" s="51">
        <f>IF(A301="","",SUMIFS('Credit Sales Tracker'!$H:$H,'Credit Sales Tracker'!$I:$I,A301))</f>
        <v/>
      </c>
      <c r="E301" s="51">
        <f>IF(A301="","",SUMIFS('Daily Expenses Log'!$E:$E,'Daily Expenses Log'!$A:$A,A301))</f>
        <v/>
      </c>
      <c r="F301" s="51">
        <f>IF(A301="","",SUMIFS('Creditors Tracker'!$F:$F,'Creditors Tracker'!$G:$G,A301))</f>
        <v/>
      </c>
      <c r="G301" s="51">
        <f>IF(A301="","",B301+C301+D301-E301-F301)</f>
        <v/>
      </c>
      <c r="H301" s="51">
        <f>IF(A301="","",SUM('Stock Master'!$J$2:$J$49))</f>
        <v/>
      </c>
      <c r="I301" s="51">
        <f>IF(A301="","",SUM('Credit Sales Tracker'!$J$2:$J$501))</f>
        <v/>
      </c>
      <c r="J301" s="51">
        <f>IF(A301="","",SUM('Creditors Tracker'!$H$2:$H$501))</f>
        <v/>
      </c>
      <c r="K301" s="49" t="n"/>
    </row>
    <row r="302">
      <c r="A302" s="52" t="n"/>
      <c r="B302" s="51">
        <f>IF(A302="","",G301)</f>
        <v/>
      </c>
      <c r="C302" s="51">
        <f>IF(A302="","",SUMIFS('Daily Sales Log'!$J:$J,'Daily Sales Log'!$A:$A,A302))</f>
        <v/>
      </c>
      <c r="D302" s="51">
        <f>IF(A302="","",SUMIFS('Credit Sales Tracker'!$H:$H,'Credit Sales Tracker'!$I:$I,A302))</f>
        <v/>
      </c>
      <c r="E302" s="51">
        <f>IF(A302="","",SUMIFS('Daily Expenses Log'!$E:$E,'Daily Expenses Log'!$A:$A,A302))</f>
        <v/>
      </c>
      <c r="F302" s="51">
        <f>IF(A302="","",SUMIFS('Creditors Tracker'!$F:$F,'Creditors Tracker'!$G:$G,A302))</f>
        <v/>
      </c>
      <c r="G302" s="51">
        <f>IF(A302="","",B302+C302+D302-E302-F302)</f>
        <v/>
      </c>
      <c r="H302" s="51">
        <f>IF(A302="","",SUM('Stock Master'!$J$2:$J$49))</f>
        <v/>
      </c>
      <c r="I302" s="51">
        <f>IF(A302="","",SUM('Credit Sales Tracker'!$J$2:$J$501))</f>
        <v/>
      </c>
      <c r="J302" s="51">
        <f>IF(A302="","",SUM('Creditors Tracker'!$H$2:$H$501))</f>
        <v/>
      </c>
      <c r="K302" s="49" t="n"/>
    </row>
    <row r="303">
      <c r="A303" s="52" t="n"/>
      <c r="B303" s="51">
        <f>IF(A303="","",G302)</f>
        <v/>
      </c>
      <c r="C303" s="51">
        <f>IF(A303="","",SUMIFS('Daily Sales Log'!$J:$J,'Daily Sales Log'!$A:$A,A303))</f>
        <v/>
      </c>
      <c r="D303" s="51">
        <f>IF(A303="","",SUMIFS('Credit Sales Tracker'!$H:$H,'Credit Sales Tracker'!$I:$I,A303))</f>
        <v/>
      </c>
      <c r="E303" s="51">
        <f>IF(A303="","",SUMIFS('Daily Expenses Log'!$E:$E,'Daily Expenses Log'!$A:$A,A303))</f>
        <v/>
      </c>
      <c r="F303" s="51">
        <f>IF(A303="","",SUMIFS('Creditors Tracker'!$F:$F,'Creditors Tracker'!$G:$G,A303))</f>
        <v/>
      </c>
      <c r="G303" s="51">
        <f>IF(A303="","",B303+C303+D303-E303-F303)</f>
        <v/>
      </c>
      <c r="H303" s="51">
        <f>IF(A303="","",SUM('Stock Master'!$J$2:$J$49))</f>
        <v/>
      </c>
      <c r="I303" s="51">
        <f>IF(A303="","",SUM('Credit Sales Tracker'!$J$2:$J$501))</f>
        <v/>
      </c>
      <c r="J303" s="51">
        <f>IF(A303="","",SUM('Creditors Tracker'!$H$2:$H$501))</f>
        <v/>
      </c>
      <c r="K303" s="49" t="n"/>
    </row>
    <row r="304">
      <c r="A304" s="52" t="n"/>
      <c r="B304" s="51">
        <f>IF(A304="","",G303)</f>
        <v/>
      </c>
      <c r="C304" s="51">
        <f>IF(A304="","",SUMIFS('Daily Sales Log'!$J:$J,'Daily Sales Log'!$A:$A,A304))</f>
        <v/>
      </c>
      <c r="D304" s="51">
        <f>IF(A304="","",SUMIFS('Credit Sales Tracker'!$H:$H,'Credit Sales Tracker'!$I:$I,A304))</f>
        <v/>
      </c>
      <c r="E304" s="51">
        <f>IF(A304="","",SUMIFS('Daily Expenses Log'!$E:$E,'Daily Expenses Log'!$A:$A,A304))</f>
        <v/>
      </c>
      <c r="F304" s="51">
        <f>IF(A304="","",SUMIFS('Creditors Tracker'!$F:$F,'Creditors Tracker'!$G:$G,A304))</f>
        <v/>
      </c>
      <c r="G304" s="51">
        <f>IF(A304="","",B304+C304+D304-E304-F304)</f>
        <v/>
      </c>
      <c r="H304" s="51">
        <f>IF(A304="","",SUM('Stock Master'!$J$2:$J$49))</f>
        <v/>
      </c>
      <c r="I304" s="51">
        <f>IF(A304="","",SUM('Credit Sales Tracker'!$J$2:$J$501))</f>
        <v/>
      </c>
      <c r="J304" s="51">
        <f>IF(A304="","",SUM('Creditors Tracker'!$H$2:$H$501))</f>
        <v/>
      </c>
      <c r="K304" s="49" t="n"/>
    </row>
    <row r="305">
      <c r="A305" s="52" t="n"/>
      <c r="B305" s="51">
        <f>IF(A305="","",G304)</f>
        <v/>
      </c>
      <c r="C305" s="51">
        <f>IF(A305="","",SUMIFS('Daily Sales Log'!$J:$J,'Daily Sales Log'!$A:$A,A305))</f>
        <v/>
      </c>
      <c r="D305" s="51">
        <f>IF(A305="","",SUMIFS('Credit Sales Tracker'!$H:$H,'Credit Sales Tracker'!$I:$I,A305))</f>
        <v/>
      </c>
      <c r="E305" s="51">
        <f>IF(A305="","",SUMIFS('Daily Expenses Log'!$E:$E,'Daily Expenses Log'!$A:$A,A305))</f>
        <v/>
      </c>
      <c r="F305" s="51">
        <f>IF(A305="","",SUMIFS('Creditors Tracker'!$F:$F,'Creditors Tracker'!$G:$G,A305))</f>
        <v/>
      </c>
      <c r="G305" s="51">
        <f>IF(A305="","",B305+C305+D305-E305-F305)</f>
        <v/>
      </c>
      <c r="H305" s="51">
        <f>IF(A305="","",SUM('Stock Master'!$J$2:$J$49))</f>
        <v/>
      </c>
      <c r="I305" s="51">
        <f>IF(A305="","",SUM('Credit Sales Tracker'!$J$2:$J$501))</f>
        <v/>
      </c>
      <c r="J305" s="51">
        <f>IF(A305="","",SUM('Creditors Tracker'!$H$2:$H$501))</f>
        <v/>
      </c>
      <c r="K305" s="49" t="n"/>
    </row>
    <row r="306">
      <c r="A306" s="52" t="n"/>
      <c r="B306" s="51">
        <f>IF(A306="","",G305)</f>
        <v/>
      </c>
      <c r="C306" s="51">
        <f>IF(A306="","",SUMIFS('Daily Sales Log'!$J:$J,'Daily Sales Log'!$A:$A,A306))</f>
        <v/>
      </c>
      <c r="D306" s="51">
        <f>IF(A306="","",SUMIFS('Credit Sales Tracker'!$H:$H,'Credit Sales Tracker'!$I:$I,A306))</f>
        <v/>
      </c>
      <c r="E306" s="51">
        <f>IF(A306="","",SUMIFS('Daily Expenses Log'!$E:$E,'Daily Expenses Log'!$A:$A,A306))</f>
        <v/>
      </c>
      <c r="F306" s="51">
        <f>IF(A306="","",SUMIFS('Creditors Tracker'!$F:$F,'Creditors Tracker'!$G:$G,A306))</f>
        <v/>
      </c>
      <c r="G306" s="51">
        <f>IF(A306="","",B306+C306+D306-E306-F306)</f>
        <v/>
      </c>
      <c r="H306" s="51">
        <f>IF(A306="","",SUM('Stock Master'!$J$2:$J$49))</f>
        <v/>
      </c>
      <c r="I306" s="51">
        <f>IF(A306="","",SUM('Credit Sales Tracker'!$J$2:$J$501))</f>
        <v/>
      </c>
      <c r="J306" s="51">
        <f>IF(A306="","",SUM('Creditors Tracker'!$H$2:$H$501))</f>
        <v/>
      </c>
      <c r="K306" s="49" t="n"/>
    </row>
    <row r="307">
      <c r="A307" s="52" t="n"/>
      <c r="B307" s="51">
        <f>IF(A307="","",G306)</f>
        <v/>
      </c>
      <c r="C307" s="51">
        <f>IF(A307="","",SUMIFS('Daily Sales Log'!$J:$J,'Daily Sales Log'!$A:$A,A307))</f>
        <v/>
      </c>
      <c r="D307" s="51">
        <f>IF(A307="","",SUMIFS('Credit Sales Tracker'!$H:$H,'Credit Sales Tracker'!$I:$I,A307))</f>
        <v/>
      </c>
      <c r="E307" s="51">
        <f>IF(A307="","",SUMIFS('Daily Expenses Log'!$E:$E,'Daily Expenses Log'!$A:$A,A307))</f>
        <v/>
      </c>
      <c r="F307" s="51">
        <f>IF(A307="","",SUMIFS('Creditors Tracker'!$F:$F,'Creditors Tracker'!$G:$G,A307))</f>
        <v/>
      </c>
      <c r="G307" s="51">
        <f>IF(A307="","",B307+C307+D307-E307-F307)</f>
        <v/>
      </c>
      <c r="H307" s="51">
        <f>IF(A307="","",SUM('Stock Master'!$J$2:$J$49))</f>
        <v/>
      </c>
      <c r="I307" s="51">
        <f>IF(A307="","",SUM('Credit Sales Tracker'!$J$2:$J$501))</f>
        <v/>
      </c>
      <c r="J307" s="51">
        <f>IF(A307="","",SUM('Creditors Tracker'!$H$2:$H$501))</f>
        <v/>
      </c>
      <c r="K307" s="49" t="n"/>
    </row>
    <row r="308">
      <c r="A308" s="52" t="n"/>
      <c r="B308" s="51">
        <f>IF(A308="","",G307)</f>
        <v/>
      </c>
      <c r="C308" s="51">
        <f>IF(A308="","",SUMIFS('Daily Sales Log'!$J:$J,'Daily Sales Log'!$A:$A,A308))</f>
        <v/>
      </c>
      <c r="D308" s="51">
        <f>IF(A308="","",SUMIFS('Credit Sales Tracker'!$H:$H,'Credit Sales Tracker'!$I:$I,A308))</f>
        <v/>
      </c>
      <c r="E308" s="51">
        <f>IF(A308="","",SUMIFS('Daily Expenses Log'!$E:$E,'Daily Expenses Log'!$A:$A,A308))</f>
        <v/>
      </c>
      <c r="F308" s="51">
        <f>IF(A308="","",SUMIFS('Creditors Tracker'!$F:$F,'Creditors Tracker'!$G:$G,A308))</f>
        <v/>
      </c>
      <c r="G308" s="51">
        <f>IF(A308="","",B308+C308+D308-E308-F308)</f>
        <v/>
      </c>
      <c r="H308" s="51">
        <f>IF(A308="","",SUM('Stock Master'!$J$2:$J$49))</f>
        <v/>
      </c>
      <c r="I308" s="51">
        <f>IF(A308="","",SUM('Credit Sales Tracker'!$J$2:$J$501))</f>
        <v/>
      </c>
      <c r="J308" s="51">
        <f>IF(A308="","",SUM('Creditors Tracker'!$H$2:$H$501))</f>
        <v/>
      </c>
      <c r="K308" s="49" t="n"/>
    </row>
    <row r="309">
      <c r="A309" s="52" t="n"/>
      <c r="B309" s="51">
        <f>IF(A309="","",G308)</f>
        <v/>
      </c>
      <c r="C309" s="51">
        <f>IF(A309="","",SUMIFS('Daily Sales Log'!$J:$J,'Daily Sales Log'!$A:$A,A309))</f>
        <v/>
      </c>
      <c r="D309" s="51">
        <f>IF(A309="","",SUMIFS('Credit Sales Tracker'!$H:$H,'Credit Sales Tracker'!$I:$I,A309))</f>
        <v/>
      </c>
      <c r="E309" s="51">
        <f>IF(A309="","",SUMIFS('Daily Expenses Log'!$E:$E,'Daily Expenses Log'!$A:$A,A309))</f>
        <v/>
      </c>
      <c r="F309" s="51">
        <f>IF(A309="","",SUMIFS('Creditors Tracker'!$F:$F,'Creditors Tracker'!$G:$G,A309))</f>
        <v/>
      </c>
      <c r="G309" s="51">
        <f>IF(A309="","",B309+C309+D309-E309-F309)</f>
        <v/>
      </c>
      <c r="H309" s="51">
        <f>IF(A309="","",SUM('Stock Master'!$J$2:$J$49))</f>
        <v/>
      </c>
      <c r="I309" s="51">
        <f>IF(A309="","",SUM('Credit Sales Tracker'!$J$2:$J$501))</f>
        <v/>
      </c>
      <c r="J309" s="51">
        <f>IF(A309="","",SUM('Creditors Tracker'!$H$2:$H$501))</f>
        <v/>
      </c>
      <c r="K309" s="49" t="n"/>
    </row>
    <row r="310">
      <c r="A310" s="52" t="n"/>
      <c r="B310" s="51">
        <f>IF(A310="","",G309)</f>
        <v/>
      </c>
      <c r="C310" s="51">
        <f>IF(A310="","",SUMIFS('Daily Sales Log'!$J:$J,'Daily Sales Log'!$A:$A,A310))</f>
        <v/>
      </c>
      <c r="D310" s="51">
        <f>IF(A310="","",SUMIFS('Credit Sales Tracker'!$H:$H,'Credit Sales Tracker'!$I:$I,A310))</f>
        <v/>
      </c>
      <c r="E310" s="51">
        <f>IF(A310="","",SUMIFS('Daily Expenses Log'!$E:$E,'Daily Expenses Log'!$A:$A,A310))</f>
        <v/>
      </c>
      <c r="F310" s="51">
        <f>IF(A310="","",SUMIFS('Creditors Tracker'!$F:$F,'Creditors Tracker'!$G:$G,A310))</f>
        <v/>
      </c>
      <c r="G310" s="51">
        <f>IF(A310="","",B310+C310+D310-E310-F310)</f>
        <v/>
      </c>
      <c r="H310" s="51">
        <f>IF(A310="","",SUM('Stock Master'!$J$2:$J$49))</f>
        <v/>
      </c>
      <c r="I310" s="51">
        <f>IF(A310="","",SUM('Credit Sales Tracker'!$J$2:$J$501))</f>
        <v/>
      </c>
      <c r="J310" s="51">
        <f>IF(A310="","",SUM('Creditors Tracker'!$H$2:$H$501))</f>
        <v/>
      </c>
      <c r="K310" s="49" t="n"/>
    </row>
    <row r="311">
      <c r="A311" s="52" t="n"/>
      <c r="B311" s="51">
        <f>IF(A311="","",G310)</f>
        <v/>
      </c>
      <c r="C311" s="51">
        <f>IF(A311="","",SUMIFS('Daily Sales Log'!$J:$J,'Daily Sales Log'!$A:$A,A311))</f>
        <v/>
      </c>
      <c r="D311" s="51">
        <f>IF(A311="","",SUMIFS('Credit Sales Tracker'!$H:$H,'Credit Sales Tracker'!$I:$I,A311))</f>
        <v/>
      </c>
      <c r="E311" s="51">
        <f>IF(A311="","",SUMIFS('Daily Expenses Log'!$E:$E,'Daily Expenses Log'!$A:$A,A311))</f>
        <v/>
      </c>
      <c r="F311" s="51">
        <f>IF(A311="","",SUMIFS('Creditors Tracker'!$F:$F,'Creditors Tracker'!$G:$G,A311))</f>
        <v/>
      </c>
      <c r="G311" s="51">
        <f>IF(A311="","",B311+C311+D311-E311-F311)</f>
        <v/>
      </c>
      <c r="H311" s="51">
        <f>IF(A311="","",SUM('Stock Master'!$J$2:$J$49))</f>
        <v/>
      </c>
      <c r="I311" s="51">
        <f>IF(A311="","",SUM('Credit Sales Tracker'!$J$2:$J$501))</f>
        <v/>
      </c>
      <c r="J311" s="51">
        <f>IF(A311="","",SUM('Creditors Tracker'!$H$2:$H$501))</f>
        <v/>
      </c>
      <c r="K311" s="49" t="n"/>
    </row>
    <row r="312">
      <c r="A312" s="52" t="n"/>
      <c r="B312" s="51">
        <f>IF(A312="","",G311)</f>
        <v/>
      </c>
      <c r="C312" s="51">
        <f>IF(A312="","",SUMIFS('Daily Sales Log'!$J:$J,'Daily Sales Log'!$A:$A,A312))</f>
        <v/>
      </c>
      <c r="D312" s="51">
        <f>IF(A312="","",SUMIFS('Credit Sales Tracker'!$H:$H,'Credit Sales Tracker'!$I:$I,A312))</f>
        <v/>
      </c>
      <c r="E312" s="51">
        <f>IF(A312="","",SUMIFS('Daily Expenses Log'!$E:$E,'Daily Expenses Log'!$A:$A,A312))</f>
        <v/>
      </c>
      <c r="F312" s="51">
        <f>IF(A312="","",SUMIFS('Creditors Tracker'!$F:$F,'Creditors Tracker'!$G:$G,A312))</f>
        <v/>
      </c>
      <c r="G312" s="51">
        <f>IF(A312="","",B312+C312+D312-E312-F312)</f>
        <v/>
      </c>
      <c r="H312" s="51">
        <f>IF(A312="","",SUM('Stock Master'!$J$2:$J$49))</f>
        <v/>
      </c>
      <c r="I312" s="51">
        <f>IF(A312="","",SUM('Credit Sales Tracker'!$J$2:$J$501))</f>
        <v/>
      </c>
      <c r="J312" s="51">
        <f>IF(A312="","",SUM('Creditors Tracker'!$H$2:$H$501))</f>
        <v/>
      </c>
      <c r="K312" s="49" t="n"/>
    </row>
    <row r="313">
      <c r="A313" s="52" t="n"/>
      <c r="B313" s="51">
        <f>IF(A313="","",G312)</f>
        <v/>
      </c>
      <c r="C313" s="51">
        <f>IF(A313="","",SUMIFS('Daily Sales Log'!$J:$J,'Daily Sales Log'!$A:$A,A313))</f>
        <v/>
      </c>
      <c r="D313" s="51">
        <f>IF(A313="","",SUMIFS('Credit Sales Tracker'!$H:$H,'Credit Sales Tracker'!$I:$I,A313))</f>
        <v/>
      </c>
      <c r="E313" s="51">
        <f>IF(A313="","",SUMIFS('Daily Expenses Log'!$E:$E,'Daily Expenses Log'!$A:$A,A313))</f>
        <v/>
      </c>
      <c r="F313" s="51">
        <f>IF(A313="","",SUMIFS('Creditors Tracker'!$F:$F,'Creditors Tracker'!$G:$G,A313))</f>
        <v/>
      </c>
      <c r="G313" s="51">
        <f>IF(A313="","",B313+C313+D313-E313-F313)</f>
        <v/>
      </c>
      <c r="H313" s="51">
        <f>IF(A313="","",SUM('Stock Master'!$J$2:$J$49))</f>
        <v/>
      </c>
      <c r="I313" s="51">
        <f>IF(A313="","",SUM('Credit Sales Tracker'!$J$2:$J$501))</f>
        <v/>
      </c>
      <c r="J313" s="51">
        <f>IF(A313="","",SUM('Creditors Tracker'!$H$2:$H$501))</f>
        <v/>
      </c>
      <c r="K313" s="49" t="n"/>
    </row>
    <row r="314">
      <c r="A314" s="52" t="n"/>
      <c r="B314" s="51">
        <f>IF(A314="","",G313)</f>
        <v/>
      </c>
      <c r="C314" s="51">
        <f>IF(A314="","",SUMIFS('Daily Sales Log'!$J:$J,'Daily Sales Log'!$A:$A,A314))</f>
        <v/>
      </c>
      <c r="D314" s="51">
        <f>IF(A314="","",SUMIFS('Credit Sales Tracker'!$H:$H,'Credit Sales Tracker'!$I:$I,A314))</f>
        <v/>
      </c>
      <c r="E314" s="51">
        <f>IF(A314="","",SUMIFS('Daily Expenses Log'!$E:$E,'Daily Expenses Log'!$A:$A,A314))</f>
        <v/>
      </c>
      <c r="F314" s="51">
        <f>IF(A314="","",SUMIFS('Creditors Tracker'!$F:$F,'Creditors Tracker'!$G:$G,A314))</f>
        <v/>
      </c>
      <c r="G314" s="51">
        <f>IF(A314="","",B314+C314+D314-E314-F314)</f>
        <v/>
      </c>
      <c r="H314" s="51">
        <f>IF(A314="","",SUM('Stock Master'!$J$2:$J$49))</f>
        <v/>
      </c>
      <c r="I314" s="51">
        <f>IF(A314="","",SUM('Credit Sales Tracker'!$J$2:$J$501))</f>
        <v/>
      </c>
      <c r="J314" s="51">
        <f>IF(A314="","",SUM('Creditors Tracker'!$H$2:$H$501))</f>
        <v/>
      </c>
      <c r="K314" s="49" t="n"/>
    </row>
    <row r="315">
      <c r="A315" s="52" t="n"/>
      <c r="B315" s="51">
        <f>IF(A315="","",G314)</f>
        <v/>
      </c>
      <c r="C315" s="51">
        <f>IF(A315="","",SUMIFS('Daily Sales Log'!$J:$J,'Daily Sales Log'!$A:$A,A315))</f>
        <v/>
      </c>
      <c r="D315" s="51">
        <f>IF(A315="","",SUMIFS('Credit Sales Tracker'!$H:$H,'Credit Sales Tracker'!$I:$I,A315))</f>
        <v/>
      </c>
      <c r="E315" s="51">
        <f>IF(A315="","",SUMIFS('Daily Expenses Log'!$E:$E,'Daily Expenses Log'!$A:$A,A315))</f>
        <v/>
      </c>
      <c r="F315" s="51">
        <f>IF(A315="","",SUMIFS('Creditors Tracker'!$F:$F,'Creditors Tracker'!$G:$G,A315))</f>
        <v/>
      </c>
      <c r="G315" s="51">
        <f>IF(A315="","",B315+C315+D315-E315-F315)</f>
        <v/>
      </c>
      <c r="H315" s="51">
        <f>IF(A315="","",SUM('Stock Master'!$J$2:$J$49))</f>
        <v/>
      </c>
      <c r="I315" s="51">
        <f>IF(A315="","",SUM('Credit Sales Tracker'!$J$2:$J$501))</f>
        <v/>
      </c>
      <c r="J315" s="51">
        <f>IF(A315="","",SUM('Creditors Tracker'!$H$2:$H$501))</f>
        <v/>
      </c>
      <c r="K315" s="49" t="n"/>
    </row>
    <row r="316">
      <c r="A316" s="52" t="n"/>
      <c r="B316" s="51">
        <f>IF(A316="","",G315)</f>
        <v/>
      </c>
      <c r="C316" s="51">
        <f>IF(A316="","",SUMIFS('Daily Sales Log'!$J:$J,'Daily Sales Log'!$A:$A,A316))</f>
        <v/>
      </c>
      <c r="D316" s="51">
        <f>IF(A316="","",SUMIFS('Credit Sales Tracker'!$H:$H,'Credit Sales Tracker'!$I:$I,A316))</f>
        <v/>
      </c>
      <c r="E316" s="51">
        <f>IF(A316="","",SUMIFS('Daily Expenses Log'!$E:$E,'Daily Expenses Log'!$A:$A,A316))</f>
        <v/>
      </c>
      <c r="F316" s="51">
        <f>IF(A316="","",SUMIFS('Creditors Tracker'!$F:$F,'Creditors Tracker'!$G:$G,A316))</f>
        <v/>
      </c>
      <c r="G316" s="51">
        <f>IF(A316="","",B316+C316+D316-E316-F316)</f>
        <v/>
      </c>
      <c r="H316" s="51">
        <f>IF(A316="","",SUM('Stock Master'!$J$2:$J$49))</f>
        <v/>
      </c>
      <c r="I316" s="51">
        <f>IF(A316="","",SUM('Credit Sales Tracker'!$J$2:$J$501))</f>
        <v/>
      </c>
      <c r="J316" s="51">
        <f>IF(A316="","",SUM('Creditors Tracker'!$H$2:$H$501))</f>
        <v/>
      </c>
      <c r="K316" s="49" t="n"/>
    </row>
    <row r="317">
      <c r="A317" s="52" t="n"/>
      <c r="B317" s="51">
        <f>IF(A317="","",G316)</f>
        <v/>
      </c>
      <c r="C317" s="51">
        <f>IF(A317="","",SUMIFS('Daily Sales Log'!$J:$J,'Daily Sales Log'!$A:$A,A317))</f>
        <v/>
      </c>
      <c r="D317" s="51">
        <f>IF(A317="","",SUMIFS('Credit Sales Tracker'!$H:$H,'Credit Sales Tracker'!$I:$I,A317))</f>
        <v/>
      </c>
      <c r="E317" s="51">
        <f>IF(A317="","",SUMIFS('Daily Expenses Log'!$E:$E,'Daily Expenses Log'!$A:$A,A317))</f>
        <v/>
      </c>
      <c r="F317" s="51">
        <f>IF(A317="","",SUMIFS('Creditors Tracker'!$F:$F,'Creditors Tracker'!$G:$G,A317))</f>
        <v/>
      </c>
      <c r="G317" s="51">
        <f>IF(A317="","",B317+C317+D317-E317-F317)</f>
        <v/>
      </c>
      <c r="H317" s="51">
        <f>IF(A317="","",SUM('Stock Master'!$J$2:$J$49))</f>
        <v/>
      </c>
      <c r="I317" s="51">
        <f>IF(A317="","",SUM('Credit Sales Tracker'!$J$2:$J$501))</f>
        <v/>
      </c>
      <c r="J317" s="51">
        <f>IF(A317="","",SUM('Creditors Tracker'!$H$2:$H$501))</f>
        <v/>
      </c>
      <c r="K317" s="49" t="n"/>
    </row>
    <row r="318">
      <c r="A318" s="52" t="n"/>
      <c r="B318" s="51">
        <f>IF(A318="","",G317)</f>
        <v/>
      </c>
      <c r="C318" s="51">
        <f>IF(A318="","",SUMIFS('Daily Sales Log'!$J:$J,'Daily Sales Log'!$A:$A,A318))</f>
        <v/>
      </c>
      <c r="D318" s="51">
        <f>IF(A318="","",SUMIFS('Credit Sales Tracker'!$H:$H,'Credit Sales Tracker'!$I:$I,A318))</f>
        <v/>
      </c>
      <c r="E318" s="51">
        <f>IF(A318="","",SUMIFS('Daily Expenses Log'!$E:$E,'Daily Expenses Log'!$A:$A,A318))</f>
        <v/>
      </c>
      <c r="F318" s="51">
        <f>IF(A318="","",SUMIFS('Creditors Tracker'!$F:$F,'Creditors Tracker'!$G:$G,A318))</f>
        <v/>
      </c>
      <c r="G318" s="51">
        <f>IF(A318="","",B318+C318+D318-E318-F318)</f>
        <v/>
      </c>
      <c r="H318" s="51">
        <f>IF(A318="","",SUM('Stock Master'!$J$2:$J$49))</f>
        <v/>
      </c>
      <c r="I318" s="51">
        <f>IF(A318="","",SUM('Credit Sales Tracker'!$J$2:$J$501))</f>
        <v/>
      </c>
      <c r="J318" s="51">
        <f>IF(A318="","",SUM('Creditors Tracker'!$H$2:$H$501))</f>
        <v/>
      </c>
      <c r="K318" s="49" t="n"/>
    </row>
    <row r="319">
      <c r="A319" s="52" t="n"/>
      <c r="B319" s="51">
        <f>IF(A319="","",G318)</f>
        <v/>
      </c>
      <c r="C319" s="51">
        <f>IF(A319="","",SUMIFS('Daily Sales Log'!$J:$J,'Daily Sales Log'!$A:$A,A319))</f>
        <v/>
      </c>
      <c r="D319" s="51">
        <f>IF(A319="","",SUMIFS('Credit Sales Tracker'!$H:$H,'Credit Sales Tracker'!$I:$I,A319))</f>
        <v/>
      </c>
      <c r="E319" s="51">
        <f>IF(A319="","",SUMIFS('Daily Expenses Log'!$E:$E,'Daily Expenses Log'!$A:$A,A319))</f>
        <v/>
      </c>
      <c r="F319" s="51">
        <f>IF(A319="","",SUMIFS('Creditors Tracker'!$F:$F,'Creditors Tracker'!$G:$G,A319))</f>
        <v/>
      </c>
      <c r="G319" s="51">
        <f>IF(A319="","",B319+C319+D319-E319-F319)</f>
        <v/>
      </c>
      <c r="H319" s="51">
        <f>IF(A319="","",SUM('Stock Master'!$J$2:$J$49))</f>
        <v/>
      </c>
      <c r="I319" s="51">
        <f>IF(A319="","",SUM('Credit Sales Tracker'!$J$2:$J$501))</f>
        <v/>
      </c>
      <c r="J319" s="51">
        <f>IF(A319="","",SUM('Creditors Tracker'!$H$2:$H$501))</f>
        <v/>
      </c>
      <c r="K319" s="49" t="n"/>
    </row>
    <row r="320">
      <c r="A320" s="52" t="n"/>
      <c r="B320" s="51">
        <f>IF(A320="","",G319)</f>
        <v/>
      </c>
      <c r="C320" s="51">
        <f>IF(A320="","",SUMIFS('Daily Sales Log'!$J:$J,'Daily Sales Log'!$A:$A,A320))</f>
        <v/>
      </c>
      <c r="D320" s="51">
        <f>IF(A320="","",SUMIFS('Credit Sales Tracker'!$H:$H,'Credit Sales Tracker'!$I:$I,A320))</f>
        <v/>
      </c>
      <c r="E320" s="51">
        <f>IF(A320="","",SUMIFS('Daily Expenses Log'!$E:$E,'Daily Expenses Log'!$A:$A,A320))</f>
        <v/>
      </c>
      <c r="F320" s="51">
        <f>IF(A320="","",SUMIFS('Creditors Tracker'!$F:$F,'Creditors Tracker'!$G:$G,A320))</f>
        <v/>
      </c>
      <c r="G320" s="51">
        <f>IF(A320="","",B320+C320+D320-E320-F320)</f>
        <v/>
      </c>
      <c r="H320" s="51">
        <f>IF(A320="","",SUM('Stock Master'!$J$2:$J$49))</f>
        <v/>
      </c>
      <c r="I320" s="51">
        <f>IF(A320="","",SUM('Credit Sales Tracker'!$J$2:$J$501))</f>
        <v/>
      </c>
      <c r="J320" s="51">
        <f>IF(A320="","",SUM('Creditors Tracker'!$H$2:$H$501))</f>
        <v/>
      </c>
      <c r="K320" s="49" t="n"/>
    </row>
    <row r="321">
      <c r="A321" s="52" t="n"/>
      <c r="B321" s="51">
        <f>IF(A321="","",G320)</f>
        <v/>
      </c>
      <c r="C321" s="51">
        <f>IF(A321="","",SUMIFS('Daily Sales Log'!$J:$J,'Daily Sales Log'!$A:$A,A321))</f>
        <v/>
      </c>
      <c r="D321" s="51">
        <f>IF(A321="","",SUMIFS('Credit Sales Tracker'!$H:$H,'Credit Sales Tracker'!$I:$I,A321))</f>
        <v/>
      </c>
      <c r="E321" s="51">
        <f>IF(A321="","",SUMIFS('Daily Expenses Log'!$E:$E,'Daily Expenses Log'!$A:$A,A321))</f>
        <v/>
      </c>
      <c r="F321" s="51">
        <f>IF(A321="","",SUMIFS('Creditors Tracker'!$F:$F,'Creditors Tracker'!$G:$G,A321))</f>
        <v/>
      </c>
      <c r="G321" s="51">
        <f>IF(A321="","",B321+C321+D321-E321-F321)</f>
        <v/>
      </c>
      <c r="H321" s="51">
        <f>IF(A321="","",SUM('Stock Master'!$J$2:$J$49))</f>
        <v/>
      </c>
      <c r="I321" s="51">
        <f>IF(A321="","",SUM('Credit Sales Tracker'!$J$2:$J$501))</f>
        <v/>
      </c>
      <c r="J321" s="51">
        <f>IF(A321="","",SUM('Creditors Tracker'!$H$2:$H$501))</f>
        <v/>
      </c>
      <c r="K321" s="49" t="n"/>
    </row>
    <row r="322">
      <c r="A322" s="52" t="n"/>
      <c r="B322" s="51">
        <f>IF(A322="","",G321)</f>
        <v/>
      </c>
      <c r="C322" s="51">
        <f>IF(A322="","",SUMIFS('Daily Sales Log'!$J:$J,'Daily Sales Log'!$A:$A,A322))</f>
        <v/>
      </c>
      <c r="D322" s="51">
        <f>IF(A322="","",SUMIFS('Credit Sales Tracker'!$H:$H,'Credit Sales Tracker'!$I:$I,A322))</f>
        <v/>
      </c>
      <c r="E322" s="51">
        <f>IF(A322="","",SUMIFS('Daily Expenses Log'!$E:$E,'Daily Expenses Log'!$A:$A,A322))</f>
        <v/>
      </c>
      <c r="F322" s="51">
        <f>IF(A322="","",SUMIFS('Creditors Tracker'!$F:$F,'Creditors Tracker'!$G:$G,A322))</f>
        <v/>
      </c>
      <c r="G322" s="51">
        <f>IF(A322="","",B322+C322+D322-E322-F322)</f>
        <v/>
      </c>
      <c r="H322" s="51">
        <f>IF(A322="","",SUM('Stock Master'!$J$2:$J$49))</f>
        <v/>
      </c>
      <c r="I322" s="51">
        <f>IF(A322="","",SUM('Credit Sales Tracker'!$J$2:$J$501))</f>
        <v/>
      </c>
      <c r="J322" s="51">
        <f>IF(A322="","",SUM('Creditors Tracker'!$H$2:$H$501))</f>
        <v/>
      </c>
      <c r="K322" s="49" t="n"/>
    </row>
    <row r="323">
      <c r="A323" s="52" t="n"/>
      <c r="B323" s="51">
        <f>IF(A323="","",G322)</f>
        <v/>
      </c>
      <c r="C323" s="51">
        <f>IF(A323="","",SUMIFS('Daily Sales Log'!$J:$J,'Daily Sales Log'!$A:$A,A323))</f>
        <v/>
      </c>
      <c r="D323" s="51">
        <f>IF(A323="","",SUMIFS('Credit Sales Tracker'!$H:$H,'Credit Sales Tracker'!$I:$I,A323))</f>
        <v/>
      </c>
      <c r="E323" s="51">
        <f>IF(A323="","",SUMIFS('Daily Expenses Log'!$E:$E,'Daily Expenses Log'!$A:$A,A323))</f>
        <v/>
      </c>
      <c r="F323" s="51">
        <f>IF(A323="","",SUMIFS('Creditors Tracker'!$F:$F,'Creditors Tracker'!$G:$G,A323))</f>
        <v/>
      </c>
      <c r="G323" s="51">
        <f>IF(A323="","",B323+C323+D323-E323-F323)</f>
        <v/>
      </c>
      <c r="H323" s="51">
        <f>IF(A323="","",SUM('Stock Master'!$J$2:$J$49))</f>
        <v/>
      </c>
      <c r="I323" s="51">
        <f>IF(A323="","",SUM('Credit Sales Tracker'!$J$2:$J$501))</f>
        <v/>
      </c>
      <c r="J323" s="51">
        <f>IF(A323="","",SUM('Creditors Tracker'!$H$2:$H$501))</f>
        <v/>
      </c>
      <c r="K323" s="49" t="n"/>
    </row>
    <row r="324">
      <c r="A324" s="52" t="n"/>
      <c r="B324" s="51">
        <f>IF(A324="","",G323)</f>
        <v/>
      </c>
      <c r="C324" s="51">
        <f>IF(A324="","",SUMIFS('Daily Sales Log'!$J:$J,'Daily Sales Log'!$A:$A,A324))</f>
        <v/>
      </c>
      <c r="D324" s="51">
        <f>IF(A324="","",SUMIFS('Credit Sales Tracker'!$H:$H,'Credit Sales Tracker'!$I:$I,A324))</f>
        <v/>
      </c>
      <c r="E324" s="51">
        <f>IF(A324="","",SUMIFS('Daily Expenses Log'!$E:$E,'Daily Expenses Log'!$A:$A,A324))</f>
        <v/>
      </c>
      <c r="F324" s="51">
        <f>IF(A324="","",SUMIFS('Creditors Tracker'!$F:$F,'Creditors Tracker'!$G:$G,A324))</f>
        <v/>
      </c>
      <c r="G324" s="51">
        <f>IF(A324="","",B324+C324+D324-E324-F324)</f>
        <v/>
      </c>
      <c r="H324" s="51">
        <f>IF(A324="","",SUM('Stock Master'!$J$2:$J$49))</f>
        <v/>
      </c>
      <c r="I324" s="51">
        <f>IF(A324="","",SUM('Credit Sales Tracker'!$J$2:$J$501))</f>
        <v/>
      </c>
      <c r="J324" s="51">
        <f>IF(A324="","",SUM('Creditors Tracker'!$H$2:$H$501))</f>
        <v/>
      </c>
      <c r="K324" s="49" t="n"/>
    </row>
    <row r="325">
      <c r="A325" s="52" t="n"/>
      <c r="B325" s="51">
        <f>IF(A325="","",G324)</f>
        <v/>
      </c>
      <c r="C325" s="51">
        <f>IF(A325="","",SUMIFS('Daily Sales Log'!$J:$J,'Daily Sales Log'!$A:$A,A325))</f>
        <v/>
      </c>
      <c r="D325" s="51">
        <f>IF(A325="","",SUMIFS('Credit Sales Tracker'!$H:$H,'Credit Sales Tracker'!$I:$I,A325))</f>
        <v/>
      </c>
      <c r="E325" s="51">
        <f>IF(A325="","",SUMIFS('Daily Expenses Log'!$E:$E,'Daily Expenses Log'!$A:$A,A325))</f>
        <v/>
      </c>
      <c r="F325" s="51">
        <f>IF(A325="","",SUMIFS('Creditors Tracker'!$F:$F,'Creditors Tracker'!$G:$G,A325))</f>
        <v/>
      </c>
      <c r="G325" s="51">
        <f>IF(A325="","",B325+C325+D325-E325-F325)</f>
        <v/>
      </c>
      <c r="H325" s="51">
        <f>IF(A325="","",SUM('Stock Master'!$J$2:$J$49))</f>
        <v/>
      </c>
      <c r="I325" s="51">
        <f>IF(A325="","",SUM('Credit Sales Tracker'!$J$2:$J$501))</f>
        <v/>
      </c>
      <c r="J325" s="51">
        <f>IF(A325="","",SUM('Creditors Tracker'!$H$2:$H$501))</f>
        <v/>
      </c>
      <c r="K325" s="49" t="n"/>
    </row>
    <row r="326">
      <c r="A326" s="52" t="n"/>
      <c r="B326" s="51">
        <f>IF(A326="","",G325)</f>
        <v/>
      </c>
      <c r="C326" s="51">
        <f>IF(A326="","",SUMIFS('Daily Sales Log'!$J:$J,'Daily Sales Log'!$A:$A,A326))</f>
        <v/>
      </c>
      <c r="D326" s="51">
        <f>IF(A326="","",SUMIFS('Credit Sales Tracker'!$H:$H,'Credit Sales Tracker'!$I:$I,A326))</f>
        <v/>
      </c>
      <c r="E326" s="51">
        <f>IF(A326="","",SUMIFS('Daily Expenses Log'!$E:$E,'Daily Expenses Log'!$A:$A,A326))</f>
        <v/>
      </c>
      <c r="F326" s="51">
        <f>IF(A326="","",SUMIFS('Creditors Tracker'!$F:$F,'Creditors Tracker'!$G:$G,A326))</f>
        <v/>
      </c>
      <c r="G326" s="51">
        <f>IF(A326="","",B326+C326+D326-E326-F326)</f>
        <v/>
      </c>
      <c r="H326" s="51">
        <f>IF(A326="","",SUM('Stock Master'!$J$2:$J$49))</f>
        <v/>
      </c>
      <c r="I326" s="51">
        <f>IF(A326="","",SUM('Credit Sales Tracker'!$J$2:$J$501))</f>
        <v/>
      </c>
      <c r="J326" s="51">
        <f>IF(A326="","",SUM('Creditors Tracker'!$H$2:$H$501))</f>
        <v/>
      </c>
      <c r="K326" s="49" t="n"/>
    </row>
    <row r="327">
      <c r="A327" s="52" t="n"/>
      <c r="B327" s="51">
        <f>IF(A327="","",G326)</f>
        <v/>
      </c>
      <c r="C327" s="51">
        <f>IF(A327="","",SUMIFS('Daily Sales Log'!$J:$J,'Daily Sales Log'!$A:$A,A327))</f>
        <v/>
      </c>
      <c r="D327" s="51">
        <f>IF(A327="","",SUMIFS('Credit Sales Tracker'!$H:$H,'Credit Sales Tracker'!$I:$I,A327))</f>
        <v/>
      </c>
      <c r="E327" s="51">
        <f>IF(A327="","",SUMIFS('Daily Expenses Log'!$E:$E,'Daily Expenses Log'!$A:$A,A327))</f>
        <v/>
      </c>
      <c r="F327" s="51">
        <f>IF(A327="","",SUMIFS('Creditors Tracker'!$F:$F,'Creditors Tracker'!$G:$G,A327))</f>
        <v/>
      </c>
      <c r="G327" s="51">
        <f>IF(A327="","",B327+C327+D327-E327-F327)</f>
        <v/>
      </c>
      <c r="H327" s="51">
        <f>IF(A327="","",SUM('Stock Master'!$J$2:$J$49))</f>
        <v/>
      </c>
      <c r="I327" s="51">
        <f>IF(A327="","",SUM('Credit Sales Tracker'!$J$2:$J$501))</f>
        <v/>
      </c>
      <c r="J327" s="51">
        <f>IF(A327="","",SUM('Creditors Tracker'!$H$2:$H$501))</f>
        <v/>
      </c>
      <c r="K327" s="49" t="n"/>
    </row>
    <row r="328">
      <c r="A328" s="52" t="n"/>
      <c r="B328" s="51">
        <f>IF(A328="","",G327)</f>
        <v/>
      </c>
      <c r="C328" s="51">
        <f>IF(A328="","",SUMIFS('Daily Sales Log'!$J:$J,'Daily Sales Log'!$A:$A,A328))</f>
        <v/>
      </c>
      <c r="D328" s="51">
        <f>IF(A328="","",SUMIFS('Credit Sales Tracker'!$H:$H,'Credit Sales Tracker'!$I:$I,A328))</f>
        <v/>
      </c>
      <c r="E328" s="51">
        <f>IF(A328="","",SUMIFS('Daily Expenses Log'!$E:$E,'Daily Expenses Log'!$A:$A,A328))</f>
        <v/>
      </c>
      <c r="F328" s="51">
        <f>IF(A328="","",SUMIFS('Creditors Tracker'!$F:$F,'Creditors Tracker'!$G:$G,A328))</f>
        <v/>
      </c>
      <c r="G328" s="51">
        <f>IF(A328="","",B328+C328+D328-E328-F328)</f>
        <v/>
      </c>
      <c r="H328" s="51">
        <f>IF(A328="","",SUM('Stock Master'!$J$2:$J$49))</f>
        <v/>
      </c>
      <c r="I328" s="51">
        <f>IF(A328="","",SUM('Credit Sales Tracker'!$J$2:$J$501))</f>
        <v/>
      </c>
      <c r="J328" s="51">
        <f>IF(A328="","",SUM('Creditors Tracker'!$H$2:$H$501))</f>
        <v/>
      </c>
      <c r="K328" s="49" t="n"/>
    </row>
    <row r="329">
      <c r="A329" s="52" t="n"/>
      <c r="B329" s="51">
        <f>IF(A329="","",G328)</f>
        <v/>
      </c>
      <c r="C329" s="51">
        <f>IF(A329="","",SUMIFS('Daily Sales Log'!$J:$J,'Daily Sales Log'!$A:$A,A329))</f>
        <v/>
      </c>
      <c r="D329" s="51">
        <f>IF(A329="","",SUMIFS('Credit Sales Tracker'!$H:$H,'Credit Sales Tracker'!$I:$I,A329))</f>
        <v/>
      </c>
      <c r="E329" s="51">
        <f>IF(A329="","",SUMIFS('Daily Expenses Log'!$E:$E,'Daily Expenses Log'!$A:$A,A329))</f>
        <v/>
      </c>
      <c r="F329" s="51">
        <f>IF(A329="","",SUMIFS('Creditors Tracker'!$F:$F,'Creditors Tracker'!$G:$G,A329))</f>
        <v/>
      </c>
      <c r="G329" s="51">
        <f>IF(A329="","",B329+C329+D329-E329-F329)</f>
        <v/>
      </c>
      <c r="H329" s="51">
        <f>IF(A329="","",SUM('Stock Master'!$J$2:$J$49))</f>
        <v/>
      </c>
      <c r="I329" s="51">
        <f>IF(A329="","",SUM('Credit Sales Tracker'!$J$2:$J$501))</f>
        <v/>
      </c>
      <c r="J329" s="51">
        <f>IF(A329="","",SUM('Creditors Tracker'!$H$2:$H$501))</f>
        <v/>
      </c>
      <c r="K329" s="49" t="n"/>
    </row>
    <row r="330">
      <c r="A330" s="52" t="n"/>
      <c r="B330" s="51">
        <f>IF(A330="","",G329)</f>
        <v/>
      </c>
      <c r="C330" s="51">
        <f>IF(A330="","",SUMIFS('Daily Sales Log'!$J:$J,'Daily Sales Log'!$A:$A,A330))</f>
        <v/>
      </c>
      <c r="D330" s="51">
        <f>IF(A330="","",SUMIFS('Credit Sales Tracker'!$H:$H,'Credit Sales Tracker'!$I:$I,A330))</f>
        <v/>
      </c>
      <c r="E330" s="51">
        <f>IF(A330="","",SUMIFS('Daily Expenses Log'!$E:$E,'Daily Expenses Log'!$A:$A,A330))</f>
        <v/>
      </c>
      <c r="F330" s="51">
        <f>IF(A330="","",SUMIFS('Creditors Tracker'!$F:$F,'Creditors Tracker'!$G:$G,A330))</f>
        <v/>
      </c>
      <c r="G330" s="51">
        <f>IF(A330="","",B330+C330+D330-E330-F330)</f>
        <v/>
      </c>
      <c r="H330" s="51">
        <f>IF(A330="","",SUM('Stock Master'!$J$2:$J$49))</f>
        <v/>
      </c>
      <c r="I330" s="51">
        <f>IF(A330="","",SUM('Credit Sales Tracker'!$J$2:$J$501))</f>
        <v/>
      </c>
      <c r="J330" s="51">
        <f>IF(A330="","",SUM('Creditors Tracker'!$H$2:$H$501))</f>
        <v/>
      </c>
      <c r="K330" s="49" t="n"/>
    </row>
    <row r="331">
      <c r="A331" s="52" t="n"/>
      <c r="B331" s="51">
        <f>IF(A331="","",G330)</f>
        <v/>
      </c>
      <c r="C331" s="51">
        <f>IF(A331="","",SUMIFS('Daily Sales Log'!$J:$J,'Daily Sales Log'!$A:$A,A331))</f>
        <v/>
      </c>
      <c r="D331" s="51">
        <f>IF(A331="","",SUMIFS('Credit Sales Tracker'!$H:$H,'Credit Sales Tracker'!$I:$I,A331))</f>
        <v/>
      </c>
      <c r="E331" s="51">
        <f>IF(A331="","",SUMIFS('Daily Expenses Log'!$E:$E,'Daily Expenses Log'!$A:$A,A331))</f>
        <v/>
      </c>
      <c r="F331" s="51">
        <f>IF(A331="","",SUMIFS('Creditors Tracker'!$F:$F,'Creditors Tracker'!$G:$G,A331))</f>
        <v/>
      </c>
      <c r="G331" s="51">
        <f>IF(A331="","",B331+C331+D331-E331-F331)</f>
        <v/>
      </c>
      <c r="H331" s="51">
        <f>IF(A331="","",SUM('Stock Master'!$J$2:$J$49))</f>
        <v/>
      </c>
      <c r="I331" s="51">
        <f>IF(A331="","",SUM('Credit Sales Tracker'!$J$2:$J$501))</f>
        <v/>
      </c>
      <c r="J331" s="51">
        <f>IF(A331="","",SUM('Creditors Tracker'!$H$2:$H$501))</f>
        <v/>
      </c>
      <c r="K331" s="49" t="n"/>
    </row>
    <row r="332">
      <c r="A332" s="52" t="n"/>
      <c r="B332" s="51">
        <f>IF(A332="","",G331)</f>
        <v/>
      </c>
      <c r="C332" s="51">
        <f>IF(A332="","",SUMIFS('Daily Sales Log'!$J:$J,'Daily Sales Log'!$A:$A,A332))</f>
        <v/>
      </c>
      <c r="D332" s="51">
        <f>IF(A332="","",SUMIFS('Credit Sales Tracker'!$H:$H,'Credit Sales Tracker'!$I:$I,A332))</f>
        <v/>
      </c>
      <c r="E332" s="51">
        <f>IF(A332="","",SUMIFS('Daily Expenses Log'!$E:$E,'Daily Expenses Log'!$A:$A,A332))</f>
        <v/>
      </c>
      <c r="F332" s="51">
        <f>IF(A332="","",SUMIFS('Creditors Tracker'!$F:$F,'Creditors Tracker'!$G:$G,A332))</f>
        <v/>
      </c>
      <c r="G332" s="51">
        <f>IF(A332="","",B332+C332+D332-E332-F332)</f>
        <v/>
      </c>
      <c r="H332" s="51">
        <f>IF(A332="","",SUM('Stock Master'!$J$2:$J$49))</f>
        <v/>
      </c>
      <c r="I332" s="51">
        <f>IF(A332="","",SUM('Credit Sales Tracker'!$J$2:$J$501))</f>
        <v/>
      </c>
      <c r="J332" s="51">
        <f>IF(A332="","",SUM('Creditors Tracker'!$H$2:$H$501))</f>
        <v/>
      </c>
      <c r="K332" s="49" t="n"/>
    </row>
    <row r="333">
      <c r="A333" s="52" t="n"/>
      <c r="B333" s="51">
        <f>IF(A333="","",G332)</f>
        <v/>
      </c>
      <c r="C333" s="51">
        <f>IF(A333="","",SUMIFS('Daily Sales Log'!$J:$J,'Daily Sales Log'!$A:$A,A333))</f>
        <v/>
      </c>
      <c r="D333" s="51">
        <f>IF(A333="","",SUMIFS('Credit Sales Tracker'!$H:$H,'Credit Sales Tracker'!$I:$I,A333))</f>
        <v/>
      </c>
      <c r="E333" s="51">
        <f>IF(A333="","",SUMIFS('Daily Expenses Log'!$E:$E,'Daily Expenses Log'!$A:$A,A333))</f>
        <v/>
      </c>
      <c r="F333" s="51">
        <f>IF(A333="","",SUMIFS('Creditors Tracker'!$F:$F,'Creditors Tracker'!$G:$G,A333))</f>
        <v/>
      </c>
      <c r="G333" s="51">
        <f>IF(A333="","",B333+C333+D333-E333-F333)</f>
        <v/>
      </c>
      <c r="H333" s="51">
        <f>IF(A333="","",SUM('Stock Master'!$J$2:$J$49))</f>
        <v/>
      </c>
      <c r="I333" s="51">
        <f>IF(A333="","",SUM('Credit Sales Tracker'!$J$2:$J$501))</f>
        <v/>
      </c>
      <c r="J333" s="51">
        <f>IF(A333="","",SUM('Creditors Tracker'!$H$2:$H$501))</f>
        <v/>
      </c>
      <c r="K333" s="49" t="n"/>
    </row>
    <row r="334">
      <c r="A334" s="52" t="n"/>
      <c r="B334" s="51">
        <f>IF(A334="","",G333)</f>
        <v/>
      </c>
      <c r="C334" s="51">
        <f>IF(A334="","",SUMIFS('Daily Sales Log'!$J:$J,'Daily Sales Log'!$A:$A,A334))</f>
        <v/>
      </c>
      <c r="D334" s="51">
        <f>IF(A334="","",SUMIFS('Credit Sales Tracker'!$H:$H,'Credit Sales Tracker'!$I:$I,A334))</f>
        <v/>
      </c>
      <c r="E334" s="51">
        <f>IF(A334="","",SUMIFS('Daily Expenses Log'!$E:$E,'Daily Expenses Log'!$A:$A,A334))</f>
        <v/>
      </c>
      <c r="F334" s="51">
        <f>IF(A334="","",SUMIFS('Creditors Tracker'!$F:$F,'Creditors Tracker'!$G:$G,A334))</f>
        <v/>
      </c>
      <c r="G334" s="51">
        <f>IF(A334="","",B334+C334+D334-E334-F334)</f>
        <v/>
      </c>
      <c r="H334" s="51">
        <f>IF(A334="","",SUM('Stock Master'!$J$2:$J$49))</f>
        <v/>
      </c>
      <c r="I334" s="51">
        <f>IF(A334="","",SUM('Credit Sales Tracker'!$J$2:$J$501))</f>
        <v/>
      </c>
      <c r="J334" s="51">
        <f>IF(A334="","",SUM('Creditors Tracker'!$H$2:$H$501))</f>
        <v/>
      </c>
      <c r="K334" s="49" t="n"/>
    </row>
    <row r="335">
      <c r="A335" s="52" t="n"/>
      <c r="B335" s="51">
        <f>IF(A335="","",G334)</f>
        <v/>
      </c>
      <c r="C335" s="51">
        <f>IF(A335="","",SUMIFS('Daily Sales Log'!$J:$J,'Daily Sales Log'!$A:$A,A335))</f>
        <v/>
      </c>
      <c r="D335" s="51">
        <f>IF(A335="","",SUMIFS('Credit Sales Tracker'!$H:$H,'Credit Sales Tracker'!$I:$I,A335))</f>
        <v/>
      </c>
      <c r="E335" s="51">
        <f>IF(A335="","",SUMIFS('Daily Expenses Log'!$E:$E,'Daily Expenses Log'!$A:$A,A335))</f>
        <v/>
      </c>
      <c r="F335" s="51">
        <f>IF(A335="","",SUMIFS('Creditors Tracker'!$F:$F,'Creditors Tracker'!$G:$G,A335))</f>
        <v/>
      </c>
      <c r="G335" s="51">
        <f>IF(A335="","",B335+C335+D335-E335-F335)</f>
        <v/>
      </c>
      <c r="H335" s="51">
        <f>IF(A335="","",SUM('Stock Master'!$J$2:$J$49))</f>
        <v/>
      </c>
      <c r="I335" s="51">
        <f>IF(A335="","",SUM('Credit Sales Tracker'!$J$2:$J$501))</f>
        <v/>
      </c>
      <c r="J335" s="51">
        <f>IF(A335="","",SUM('Creditors Tracker'!$H$2:$H$501))</f>
        <v/>
      </c>
      <c r="K335" s="49" t="n"/>
    </row>
    <row r="336">
      <c r="A336" s="52" t="n"/>
      <c r="B336" s="51">
        <f>IF(A336="","",G335)</f>
        <v/>
      </c>
      <c r="C336" s="51">
        <f>IF(A336="","",SUMIFS('Daily Sales Log'!$J:$J,'Daily Sales Log'!$A:$A,A336))</f>
        <v/>
      </c>
      <c r="D336" s="51">
        <f>IF(A336="","",SUMIFS('Credit Sales Tracker'!$H:$H,'Credit Sales Tracker'!$I:$I,A336))</f>
        <v/>
      </c>
      <c r="E336" s="51">
        <f>IF(A336="","",SUMIFS('Daily Expenses Log'!$E:$E,'Daily Expenses Log'!$A:$A,A336))</f>
        <v/>
      </c>
      <c r="F336" s="51">
        <f>IF(A336="","",SUMIFS('Creditors Tracker'!$F:$F,'Creditors Tracker'!$G:$G,A336))</f>
        <v/>
      </c>
      <c r="G336" s="51">
        <f>IF(A336="","",B336+C336+D336-E336-F336)</f>
        <v/>
      </c>
      <c r="H336" s="51">
        <f>IF(A336="","",SUM('Stock Master'!$J$2:$J$49))</f>
        <v/>
      </c>
      <c r="I336" s="51">
        <f>IF(A336="","",SUM('Credit Sales Tracker'!$J$2:$J$501))</f>
        <v/>
      </c>
      <c r="J336" s="51">
        <f>IF(A336="","",SUM('Creditors Tracker'!$H$2:$H$501))</f>
        <v/>
      </c>
      <c r="K336" s="49" t="n"/>
    </row>
    <row r="337">
      <c r="A337" s="52" t="n"/>
      <c r="B337" s="51">
        <f>IF(A337="","",G336)</f>
        <v/>
      </c>
      <c r="C337" s="51">
        <f>IF(A337="","",SUMIFS('Daily Sales Log'!$J:$J,'Daily Sales Log'!$A:$A,A337))</f>
        <v/>
      </c>
      <c r="D337" s="51">
        <f>IF(A337="","",SUMIFS('Credit Sales Tracker'!$H:$H,'Credit Sales Tracker'!$I:$I,A337))</f>
        <v/>
      </c>
      <c r="E337" s="51">
        <f>IF(A337="","",SUMIFS('Daily Expenses Log'!$E:$E,'Daily Expenses Log'!$A:$A,A337))</f>
        <v/>
      </c>
      <c r="F337" s="51">
        <f>IF(A337="","",SUMIFS('Creditors Tracker'!$F:$F,'Creditors Tracker'!$G:$G,A337))</f>
        <v/>
      </c>
      <c r="G337" s="51">
        <f>IF(A337="","",B337+C337+D337-E337-F337)</f>
        <v/>
      </c>
      <c r="H337" s="51">
        <f>IF(A337="","",SUM('Stock Master'!$J$2:$J$49))</f>
        <v/>
      </c>
      <c r="I337" s="51">
        <f>IF(A337="","",SUM('Credit Sales Tracker'!$J$2:$J$501))</f>
        <v/>
      </c>
      <c r="J337" s="51">
        <f>IF(A337="","",SUM('Creditors Tracker'!$H$2:$H$501))</f>
        <v/>
      </c>
      <c r="K337" s="49" t="n"/>
    </row>
    <row r="338">
      <c r="A338" s="52" t="n"/>
      <c r="B338" s="51">
        <f>IF(A338="","",G337)</f>
        <v/>
      </c>
      <c r="C338" s="51">
        <f>IF(A338="","",SUMIFS('Daily Sales Log'!$J:$J,'Daily Sales Log'!$A:$A,A338))</f>
        <v/>
      </c>
      <c r="D338" s="51">
        <f>IF(A338="","",SUMIFS('Credit Sales Tracker'!$H:$H,'Credit Sales Tracker'!$I:$I,A338))</f>
        <v/>
      </c>
      <c r="E338" s="51">
        <f>IF(A338="","",SUMIFS('Daily Expenses Log'!$E:$E,'Daily Expenses Log'!$A:$A,A338))</f>
        <v/>
      </c>
      <c r="F338" s="51">
        <f>IF(A338="","",SUMIFS('Creditors Tracker'!$F:$F,'Creditors Tracker'!$G:$G,A338))</f>
        <v/>
      </c>
      <c r="G338" s="51">
        <f>IF(A338="","",B338+C338+D338-E338-F338)</f>
        <v/>
      </c>
      <c r="H338" s="51">
        <f>IF(A338="","",SUM('Stock Master'!$J$2:$J$49))</f>
        <v/>
      </c>
      <c r="I338" s="51">
        <f>IF(A338="","",SUM('Credit Sales Tracker'!$J$2:$J$501))</f>
        <v/>
      </c>
      <c r="J338" s="51">
        <f>IF(A338="","",SUM('Creditors Tracker'!$H$2:$H$501))</f>
        <v/>
      </c>
      <c r="K338" s="49" t="n"/>
    </row>
    <row r="339">
      <c r="A339" s="52" t="n"/>
      <c r="B339" s="51">
        <f>IF(A339="","",G338)</f>
        <v/>
      </c>
      <c r="C339" s="51">
        <f>IF(A339="","",SUMIFS('Daily Sales Log'!$J:$J,'Daily Sales Log'!$A:$A,A339))</f>
        <v/>
      </c>
      <c r="D339" s="51">
        <f>IF(A339="","",SUMIFS('Credit Sales Tracker'!$H:$H,'Credit Sales Tracker'!$I:$I,A339))</f>
        <v/>
      </c>
      <c r="E339" s="51">
        <f>IF(A339="","",SUMIFS('Daily Expenses Log'!$E:$E,'Daily Expenses Log'!$A:$A,A339))</f>
        <v/>
      </c>
      <c r="F339" s="51">
        <f>IF(A339="","",SUMIFS('Creditors Tracker'!$F:$F,'Creditors Tracker'!$G:$G,A339))</f>
        <v/>
      </c>
      <c r="G339" s="51">
        <f>IF(A339="","",B339+C339+D339-E339-F339)</f>
        <v/>
      </c>
      <c r="H339" s="51">
        <f>IF(A339="","",SUM('Stock Master'!$J$2:$J$49))</f>
        <v/>
      </c>
      <c r="I339" s="51">
        <f>IF(A339="","",SUM('Credit Sales Tracker'!$J$2:$J$501))</f>
        <v/>
      </c>
      <c r="J339" s="51">
        <f>IF(A339="","",SUM('Creditors Tracker'!$H$2:$H$501))</f>
        <v/>
      </c>
      <c r="K339" s="49" t="n"/>
    </row>
    <row r="340">
      <c r="A340" s="52" t="n"/>
      <c r="B340" s="51">
        <f>IF(A340="","",G339)</f>
        <v/>
      </c>
      <c r="C340" s="51">
        <f>IF(A340="","",SUMIFS('Daily Sales Log'!$J:$J,'Daily Sales Log'!$A:$A,A340))</f>
        <v/>
      </c>
      <c r="D340" s="51">
        <f>IF(A340="","",SUMIFS('Credit Sales Tracker'!$H:$H,'Credit Sales Tracker'!$I:$I,A340))</f>
        <v/>
      </c>
      <c r="E340" s="51">
        <f>IF(A340="","",SUMIFS('Daily Expenses Log'!$E:$E,'Daily Expenses Log'!$A:$A,A340))</f>
        <v/>
      </c>
      <c r="F340" s="51">
        <f>IF(A340="","",SUMIFS('Creditors Tracker'!$F:$F,'Creditors Tracker'!$G:$G,A340))</f>
        <v/>
      </c>
      <c r="G340" s="51">
        <f>IF(A340="","",B340+C340+D340-E340-F340)</f>
        <v/>
      </c>
      <c r="H340" s="51">
        <f>IF(A340="","",SUM('Stock Master'!$J$2:$J$49))</f>
        <v/>
      </c>
      <c r="I340" s="51">
        <f>IF(A340="","",SUM('Credit Sales Tracker'!$J$2:$J$501))</f>
        <v/>
      </c>
      <c r="J340" s="51">
        <f>IF(A340="","",SUM('Creditors Tracker'!$H$2:$H$501))</f>
        <v/>
      </c>
      <c r="K340" s="49" t="n"/>
    </row>
    <row r="341">
      <c r="A341" s="52" t="n"/>
      <c r="B341" s="51">
        <f>IF(A341="","",G340)</f>
        <v/>
      </c>
      <c r="C341" s="51">
        <f>IF(A341="","",SUMIFS('Daily Sales Log'!$J:$J,'Daily Sales Log'!$A:$A,A341))</f>
        <v/>
      </c>
      <c r="D341" s="51">
        <f>IF(A341="","",SUMIFS('Credit Sales Tracker'!$H:$H,'Credit Sales Tracker'!$I:$I,A341))</f>
        <v/>
      </c>
      <c r="E341" s="51">
        <f>IF(A341="","",SUMIFS('Daily Expenses Log'!$E:$E,'Daily Expenses Log'!$A:$A,A341))</f>
        <v/>
      </c>
      <c r="F341" s="51">
        <f>IF(A341="","",SUMIFS('Creditors Tracker'!$F:$F,'Creditors Tracker'!$G:$G,A341))</f>
        <v/>
      </c>
      <c r="G341" s="51">
        <f>IF(A341="","",B341+C341+D341-E341-F341)</f>
        <v/>
      </c>
      <c r="H341" s="51">
        <f>IF(A341="","",SUM('Stock Master'!$J$2:$J$49))</f>
        <v/>
      </c>
      <c r="I341" s="51">
        <f>IF(A341="","",SUM('Credit Sales Tracker'!$J$2:$J$501))</f>
        <v/>
      </c>
      <c r="J341" s="51">
        <f>IF(A341="","",SUM('Creditors Tracker'!$H$2:$H$501))</f>
        <v/>
      </c>
      <c r="K341" s="49" t="n"/>
    </row>
    <row r="342">
      <c r="A342" s="52" t="n"/>
      <c r="B342" s="51">
        <f>IF(A342="","",G341)</f>
        <v/>
      </c>
      <c r="C342" s="51">
        <f>IF(A342="","",SUMIFS('Daily Sales Log'!$J:$J,'Daily Sales Log'!$A:$A,A342))</f>
        <v/>
      </c>
      <c r="D342" s="51">
        <f>IF(A342="","",SUMIFS('Credit Sales Tracker'!$H:$H,'Credit Sales Tracker'!$I:$I,A342))</f>
        <v/>
      </c>
      <c r="E342" s="51">
        <f>IF(A342="","",SUMIFS('Daily Expenses Log'!$E:$E,'Daily Expenses Log'!$A:$A,A342))</f>
        <v/>
      </c>
      <c r="F342" s="51">
        <f>IF(A342="","",SUMIFS('Creditors Tracker'!$F:$F,'Creditors Tracker'!$G:$G,A342))</f>
        <v/>
      </c>
      <c r="G342" s="51">
        <f>IF(A342="","",B342+C342+D342-E342-F342)</f>
        <v/>
      </c>
      <c r="H342" s="51">
        <f>IF(A342="","",SUM('Stock Master'!$J$2:$J$49))</f>
        <v/>
      </c>
      <c r="I342" s="51">
        <f>IF(A342="","",SUM('Credit Sales Tracker'!$J$2:$J$501))</f>
        <v/>
      </c>
      <c r="J342" s="51">
        <f>IF(A342="","",SUM('Creditors Tracker'!$H$2:$H$501))</f>
        <v/>
      </c>
      <c r="K342" s="49" t="n"/>
    </row>
    <row r="343">
      <c r="A343" s="52" t="n"/>
      <c r="B343" s="51">
        <f>IF(A343="","",G342)</f>
        <v/>
      </c>
      <c r="C343" s="51">
        <f>IF(A343="","",SUMIFS('Daily Sales Log'!$J:$J,'Daily Sales Log'!$A:$A,A343))</f>
        <v/>
      </c>
      <c r="D343" s="51">
        <f>IF(A343="","",SUMIFS('Credit Sales Tracker'!$H:$H,'Credit Sales Tracker'!$I:$I,A343))</f>
        <v/>
      </c>
      <c r="E343" s="51">
        <f>IF(A343="","",SUMIFS('Daily Expenses Log'!$E:$E,'Daily Expenses Log'!$A:$A,A343))</f>
        <v/>
      </c>
      <c r="F343" s="51">
        <f>IF(A343="","",SUMIFS('Creditors Tracker'!$F:$F,'Creditors Tracker'!$G:$G,A343))</f>
        <v/>
      </c>
      <c r="G343" s="51">
        <f>IF(A343="","",B343+C343+D343-E343-F343)</f>
        <v/>
      </c>
      <c r="H343" s="51">
        <f>IF(A343="","",SUM('Stock Master'!$J$2:$J$49))</f>
        <v/>
      </c>
      <c r="I343" s="51">
        <f>IF(A343="","",SUM('Credit Sales Tracker'!$J$2:$J$501))</f>
        <v/>
      </c>
      <c r="J343" s="51">
        <f>IF(A343="","",SUM('Creditors Tracker'!$H$2:$H$501))</f>
        <v/>
      </c>
      <c r="K343" s="49" t="n"/>
    </row>
    <row r="344">
      <c r="A344" s="52" t="n"/>
      <c r="B344" s="51">
        <f>IF(A344="","",G343)</f>
        <v/>
      </c>
      <c r="C344" s="51">
        <f>IF(A344="","",SUMIFS('Daily Sales Log'!$J:$J,'Daily Sales Log'!$A:$A,A344))</f>
        <v/>
      </c>
      <c r="D344" s="51">
        <f>IF(A344="","",SUMIFS('Credit Sales Tracker'!$H:$H,'Credit Sales Tracker'!$I:$I,A344))</f>
        <v/>
      </c>
      <c r="E344" s="51">
        <f>IF(A344="","",SUMIFS('Daily Expenses Log'!$E:$E,'Daily Expenses Log'!$A:$A,A344))</f>
        <v/>
      </c>
      <c r="F344" s="51">
        <f>IF(A344="","",SUMIFS('Creditors Tracker'!$F:$F,'Creditors Tracker'!$G:$G,A344))</f>
        <v/>
      </c>
      <c r="G344" s="51">
        <f>IF(A344="","",B344+C344+D344-E344-F344)</f>
        <v/>
      </c>
      <c r="H344" s="51">
        <f>IF(A344="","",SUM('Stock Master'!$J$2:$J$49))</f>
        <v/>
      </c>
      <c r="I344" s="51">
        <f>IF(A344="","",SUM('Credit Sales Tracker'!$J$2:$J$501))</f>
        <v/>
      </c>
      <c r="J344" s="51">
        <f>IF(A344="","",SUM('Creditors Tracker'!$H$2:$H$501))</f>
        <v/>
      </c>
      <c r="K344" s="49" t="n"/>
    </row>
    <row r="345">
      <c r="A345" s="52" t="n"/>
      <c r="B345" s="51">
        <f>IF(A345="","",G344)</f>
        <v/>
      </c>
      <c r="C345" s="51">
        <f>IF(A345="","",SUMIFS('Daily Sales Log'!$J:$J,'Daily Sales Log'!$A:$A,A345))</f>
        <v/>
      </c>
      <c r="D345" s="51">
        <f>IF(A345="","",SUMIFS('Credit Sales Tracker'!$H:$H,'Credit Sales Tracker'!$I:$I,A345))</f>
        <v/>
      </c>
      <c r="E345" s="51">
        <f>IF(A345="","",SUMIFS('Daily Expenses Log'!$E:$E,'Daily Expenses Log'!$A:$A,A345))</f>
        <v/>
      </c>
      <c r="F345" s="51">
        <f>IF(A345="","",SUMIFS('Creditors Tracker'!$F:$F,'Creditors Tracker'!$G:$G,A345))</f>
        <v/>
      </c>
      <c r="G345" s="51">
        <f>IF(A345="","",B345+C345+D345-E345-F345)</f>
        <v/>
      </c>
      <c r="H345" s="51">
        <f>IF(A345="","",SUM('Stock Master'!$J$2:$J$49))</f>
        <v/>
      </c>
      <c r="I345" s="51">
        <f>IF(A345="","",SUM('Credit Sales Tracker'!$J$2:$J$501))</f>
        <v/>
      </c>
      <c r="J345" s="51">
        <f>IF(A345="","",SUM('Creditors Tracker'!$H$2:$H$501))</f>
        <v/>
      </c>
      <c r="K345" s="49" t="n"/>
    </row>
    <row r="346">
      <c r="A346" s="52" t="n"/>
      <c r="B346" s="51">
        <f>IF(A346="","",G345)</f>
        <v/>
      </c>
      <c r="C346" s="51">
        <f>IF(A346="","",SUMIFS('Daily Sales Log'!$J:$J,'Daily Sales Log'!$A:$A,A346))</f>
        <v/>
      </c>
      <c r="D346" s="51">
        <f>IF(A346="","",SUMIFS('Credit Sales Tracker'!$H:$H,'Credit Sales Tracker'!$I:$I,A346))</f>
        <v/>
      </c>
      <c r="E346" s="51">
        <f>IF(A346="","",SUMIFS('Daily Expenses Log'!$E:$E,'Daily Expenses Log'!$A:$A,A346))</f>
        <v/>
      </c>
      <c r="F346" s="51">
        <f>IF(A346="","",SUMIFS('Creditors Tracker'!$F:$F,'Creditors Tracker'!$G:$G,A346))</f>
        <v/>
      </c>
      <c r="G346" s="51">
        <f>IF(A346="","",B346+C346+D346-E346-F346)</f>
        <v/>
      </c>
      <c r="H346" s="51">
        <f>IF(A346="","",SUM('Stock Master'!$J$2:$J$49))</f>
        <v/>
      </c>
      <c r="I346" s="51">
        <f>IF(A346="","",SUM('Credit Sales Tracker'!$J$2:$J$501))</f>
        <v/>
      </c>
      <c r="J346" s="51">
        <f>IF(A346="","",SUM('Creditors Tracker'!$H$2:$H$501))</f>
        <v/>
      </c>
      <c r="K346" s="49" t="n"/>
    </row>
    <row r="347">
      <c r="A347" s="52" t="n"/>
      <c r="B347" s="51">
        <f>IF(A347="","",G346)</f>
        <v/>
      </c>
      <c r="C347" s="51">
        <f>IF(A347="","",SUMIFS('Daily Sales Log'!$J:$J,'Daily Sales Log'!$A:$A,A347))</f>
        <v/>
      </c>
      <c r="D347" s="51">
        <f>IF(A347="","",SUMIFS('Credit Sales Tracker'!$H:$H,'Credit Sales Tracker'!$I:$I,A347))</f>
        <v/>
      </c>
      <c r="E347" s="51">
        <f>IF(A347="","",SUMIFS('Daily Expenses Log'!$E:$E,'Daily Expenses Log'!$A:$A,A347))</f>
        <v/>
      </c>
      <c r="F347" s="51">
        <f>IF(A347="","",SUMIFS('Creditors Tracker'!$F:$F,'Creditors Tracker'!$G:$G,A347))</f>
        <v/>
      </c>
      <c r="G347" s="51">
        <f>IF(A347="","",B347+C347+D347-E347-F347)</f>
        <v/>
      </c>
      <c r="H347" s="51">
        <f>IF(A347="","",SUM('Stock Master'!$J$2:$J$49))</f>
        <v/>
      </c>
      <c r="I347" s="51">
        <f>IF(A347="","",SUM('Credit Sales Tracker'!$J$2:$J$501))</f>
        <v/>
      </c>
      <c r="J347" s="51">
        <f>IF(A347="","",SUM('Creditors Tracker'!$H$2:$H$501))</f>
        <v/>
      </c>
      <c r="K347" s="49" t="n"/>
    </row>
    <row r="348">
      <c r="A348" s="52" t="n"/>
      <c r="B348" s="51">
        <f>IF(A348="","",G347)</f>
        <v/>
      </c>
      <c r="C348" s="51">
        <f>IF(A348="","",SUMIFS('Daily Sales Log'!$J:$J,'Daily Sales Log'!$A:$A,A348))</f>
        <v/>
      </c>
      <c r="D348" s="51">
        <f>IF(A348="","",SUMIFS('Credit Sales Tracker'!$H:$H,'Credit Sales Tracker'!$I:$I,A348))</f>
        <v/>
      </c>
      <c r="E348" s="51">
        <f>IF(A348="","",SUMIFS('Daily Expenses Log'!$E:$E,'Daily Expenses Log'!$A:$A,A348))</f>
        <v/>
      </c>
      <c r="F348" s="51">
        <f>IF(A348="","",SUMIFS('Creditors Tracker'!$F:$F,'Creditors Tracker'!$G:$G,A348))</f>
        <v/>
      </c>
      <c r="G348" s="51">
        <f>IF(A348="","",B348+C348+D348-E348-F348)</f>
        <v/>
      </c>
      <c r="H348" s="51">
        <f>IF(A348="","",SUM('Stock Master'!$J$2:$J$49))</f>
        <v/>
      </c>
      <c r="I348" s="51">
        <f>IF(A348="","",SUM('Credit Sales Tracker'!$J$2:$J$501))</f>
        <v/>
      </c>
      <c r="J348" s="51">
        <f>IF(A348="","",SUM('Creditors Tracker'!$H$2:$H$501))</f>
        <v/>
      </c>
      <c r="K348" s="49" t="n"/>
    </row>
    <row r="349">
      <c r="A349" s="52" t="n"/>
      <c r="B349" s="51">
        <f>IF(A349="","",G348)</f>
        <v/>
      </c>
      <c r="C349" s="51">
        <f>IF(A349="","",SUMIFS('Daily Sales Log'!$J:$J,'Daily Sales Log'!$A:$A,A349))</f>
        <v/>
      </c>
      <c r="D349" s="51">
        <f>IF(A349="","",SUMIFS('Credit Sales Tracker'!$H:$H,'Credit Sales Tracker'!$I:$I,A349))</f>
        <v/>
      </c>
      <c r="E349" s="51">
        <f>IF(A349="","",SUMIFS('Daily Expenses Log'!$E:$E,'Daily Expenses Log'!$A:$A,A349))</f>
        <v/>
      </c>
      <c r="F349" s="51">
        <f>IF(A349="","",SUMIFS('Creditors Tracker'!$F:$F,'Creditors Tracker'!$G:$G,A349))</f>
        <v/>
      </c>
      <c r="G349" s="51">
        <f>IF(A349="","",B349+C349+D349-E349-F349)</f>
        <v/>
      </c>
      <c r="H349" s="51">
        <f>IF(A349="","",SUM('Stock Master'!$J$2:$J$49))</f>
        <v/>
      </c>
      <c r="I349" s="51">
        <f>IF(A349="","",SUM('Credit Sales Tracker'!$J$2:$J$501))</f>
        <v/>
      </c>
      <c r="J349" s="51">
        <f>IF(A349="","",SUM('Creditors Tracker'!$H$2:$H$501))</f>
        <v/>
      </c>
      <c r="K349" s="49" t="n"/>
    </row>
    <row r="350">
      <c r="A350" s="52" t="n"/>
      <c r="B350" s="51">
        <f>IF(A350="","",G349)</f>
        <v/>
      </c>
      <c r="C350" s="51">
        <f>IF(A350="","",SUMIFS('Daily Sales Log'!$J:$J,'Daily Sales Log'!$A:$A,A350))</f>
        <v/>
      </c>
      <c r="D350" s="51">
        <f>IF(A350="","",SUMIFS('Credit Sales Tracker'!$H:$H,'Credit Sales Tracker'!$I:$I,A350))</f>
        <v/>
      </c>
      <c r="E350" s="51">
        <f>IF(A350="","",SUMIFS('Daily Expenses Log'!$E:$E,'Daily Expenses Log'!$A:$A,A350))</f>
        <v/>
      </c>
      <c r="F350" s="51">
        <f>IF(A350="","",SUMIFS('Creditors Tracker'!$F:$F,'Creditors Tracker'!$G:$G,A350))</f>
        <v/>
      </c>
      <c r="G350" s="51">
        <f>IF(A350="","",B350+C350+D350-E350-F350)</f>
        <v/>
      </c>
      <c r="H350" s="51">
        <f>IF(A350="","",SUM('Stock Master'!$J$2:$J$49))</f>
        <v/>
      </c>
      <c r="I350" s="51">
        <f>IF(A350="","",SUM('Credit Sales Tracker'!$J$2:$J$501))</f>
        <v/>
      </c>
      <c r="J350" s="51">
        <f>IF(A350="","",SUM('Creditors Tracker'!$H$2:$H$501))</f>
        <v/>
      </c>
      <c r="K350" s="49" t="n"/>
    </row>
    <row r="351">
      <c r="A351" s="52" t="n"/>
      <c r="B351" s="51">
        <f>IF(A351="","",G350)</f>
        <v/>
      </c>
      <c r="C351" s="51">
        <f>IF(A351="","",SUMIFS('Daily Sales Log'!$J:$J,'Daily Sales Log'!$A:$A,A351))</f>
        <v/>
      </c>
      <c r="D351" s="51">
        <f>IF(A351="","",SUMIFS('Credit Sales Tracker'!$H:$H,'Credit Sales Tracker'!$I:$I,A351))</f>
        <v/>
      </c>
      <c r="E351" s="51">
        <f>IF(A351="","",SUMIFS('Daily Expenses Log'!$E:$E,'Daily Expenses Log'!$A:$A,A351))</f>
        <v/>
      </c>
      <c r="F351" s="51">
        <f>IF(A351="","",SUMIFS('Creditors Tracker'!$F:$F,'Creditors Tracker'!$G:$G,A351))</f>
        <v/>
      </c>
      <c r="G351" s="51">
        <f>IF(A351="","",B351+C351+D351-E351-F351)</f>
        <v/>
      </c>
      <c r="H351" s="51">
        <f>IF(A351="","",SUM('Stock Master'!$J$2:$J$49))</f>
        <v/>
      </c>
      <c r="I351" s="51">
        <f>IF(A351="","",SUM('Credit Sales Tracker'!$J$2:$J$501))</f>
        <v/>
      </c>
      <c r="J351" s="51">
        <f>IF(A351="","",SUM('Creditors Tracker'!$H$2:$H$501))</f>
        <v/>
      </c>
      <c r="K351" s="49" t="n"/>
    </row>
    <row r="352">
      <c r="A352" s="52" t="n"/>
      <c r="B352" s="51">
        <f>IF(A352="","",G351)</f>
        <v/>
      </c>
      <c r="C352" s="51">
        <f>IF(A352="","",SUMIFS('Daily Sales Log'!$J:$J,'Daily Sales Log'!$A:$A,A352))</f>
        <v/>
      </c>
      <c r="D352" s="51">
        <f>IF(A352="","",SUMIFS('Credit Sales Tracker'!$H:$H,'Credit Sales Tracker'!$I:$I,A352))</f>
        <v/>
      </c>
      <c r="E352" s="51">
        <f>IF(A352="","",SUMIFS('Daily Expenses Log'!$E:$E,'Daily Expenses Log'!$A:$A,A352))</f>
        <v/>
      </c>
      <c r="F352" s="51">
        <f>IF(A352="","",SUMIFS('Creditors Tracker'!$F:$F,'Creditors Tracker'!$G:$G,A352))</f>
        <v/>
      </c>
      <c r="G352" s="51">
        <f>IF(A352="","",B352+C352+D352-E352-F352)</f>
        <v/>
      </c>
      <c r="H352" s="51">
        <f>IF(A352="","",SUM('Stock Master'!$J$2:$J$49))</f>
        <v/>
      </c>
      <c r="I352" s="51">
        <f>IF(A352="","",SUM('Credit Sales Tracker'!$J$2:$J$501))</f>
        <v/>
      </c>
      <c r="J352" s="51">
        <f>IF(A352="","",SUM('Creditors Tracker'!$H$2:$H$501))</f>
        <v/>
      </c>
      <c r="K352" s="49" t="n"/>
    </row>
    <row r="353">
      <c r="A353" s="52" t="n"/>
      <c r="B353" s="51">
        <f>IF(A353="","",G352)</f>
        <v/>
      </c>
      <c r="C353" s="51">
        <f>IF(A353="","",SUMIFS('Daily Sales Log'!$J:$J,'Daily Sales Log'!$A:$A,A353))</f>
        <v/>
      </c>
      <c r="D353" s="51">
        <f>IF(A353="","",SUMIFS('Credit Sales Tracker'!$H:$H,'Credit Sales Tracker'!$I:$I,A353))</f>
        <v/>
      </c>
      <c r="E353" s="51">
        <f>IF(A353="","",SUMIFS('Daily Expenses Log'!$E:$E,'Daily Expenses Log'!$A:$A,A353))</f>
        <v/>
      </c>
      <c r="F353" s="51">
        <f>IF(A353="","",SUMIFS('Creditors Tracker'!$F:$F,'Creditors Tracker'!$G:$G,A353))</f>
        <v/>
      </c>
      <c r="G353" s="51">
        <f>IF(A353="","",B353+C353+D353-E353-F353)</f>
        <v/>
      </c>
      <c r="H353" s="51">
        <f>IF(A353="","",SUM('Stock Master'!$J$2:$J$49))</f>
        <v/>
      </c>
      <c r="I353" s="51">
        <f>IF(A353="","",SUM('Credit Sales Tracker'!$J$2:$J$501))</f>
        <v/>
      </c>
      <c r="J353" s="51">
        <f>IF(A353="","",SUM('Creditors Tracker'!$H$2:$H$501))</f>
        <v/>
      </c>
      <c r="K353" s="49" t="n"/>
    </row>
    <row r="354">
      <c r="A354" s="52" t="n"/>
      <c r="B354" s="51">
        <f>IF(A354="","",G353)</f>
        <v/>
      </c>
      <c r="C354" s="51">
        <f>IF(A354="","",SUMIFS('Daily Sales Log'!$J:$J,'Daily Sales Log'!$A:$A,A354))</f>
        <v/>
      </c>
      <c r="D354" s="51">
        <f>IF(A354="","",SUMIFS('Credit Sales Tracker'!$H:$H,'Credit Sales Tracker'!$I:$I,A354))</f>
        <v/>
      </c>
      <c r="E354" s="51">
        <f>IF(A354="","",SUMIFS('Daily Expenses Log'!$E:$E,'Daily Expenses Log'!$A:$A,A354))</f>
        <v/>
      </c>
      <c r="F354" s="51">
        <f>IF(A354="","",SUMIFS('Creditors Tracker'!$F:$F,'Creditors Tracker'!$G:$G,A354))</f>
        <v/>
      </c>
      <c r="G354" s="51">
        <f>IF(A354="","",B354+C354+D354-E354-F354)</f>
        <v/>
      </c>
      <c r="H354" s="51">
        <f>IF(A354="","",SUM('Stock Master'!$J$2:$J$49))</f>
        <v/>
      </c>
      <c r="I354" s="51">
        <f>IF(A354="","",SUM('Credit Sales Tracker'!$J$2:$J$501))</f>
        <v/>
      </c>
      <c r="J354" s="51">
        <f>IF(A354="","",SUM('Creditors Tracker'!$H$2:$H$501))</f>
        <v/>
      </c>
      <c r="K354" s="49" t="n"/>
    </row>
    <row r="355">
      <c r="A355" s="52" t="n"/>
      <c r="B355" s="51">
        <f>IF(A355="","",G354)</f>
        <v/>
      </c>
      <c r="C355" s="51">
        <f>IF(A355="","",SUMIFS('Daily Sales Log'!$J:$J,'Daily Sales Log'!$A:$A,A355))</f>
        <v/>
      </c>
      <c r="D355" s="51">
        <f>IF(A355="","",SUMIFS('Credit Sales Tracker'!$H:$H,'Credit Sales Tracker'!$I:$I,A355))</f>
        <v/>
      </c>
      <c r="E355" s="51">
        <f>IF(A355="","",SUMIFS('Daily Expenses Log'!$E:$E,'Daily Expenses Log'!$A:$A,A355))</f>
        <v/>
      </c>
      <c r="F355" s="51">
        <f>IF(A355="","",SUMIFS('Creditors Tracker'!$F:$F,'Creditors Tracker'!$G:$G,A355))</f>
        <v/>
      </c>
      <c r="G355" s="51">
        <f>IF(A355="","",B355+C355+D355-E355-F355)</f>
        <v/>
      </c>
      <c r="H355" s="51">
        <f>IF(A355="","",SUM('Stock Master'!$J$2:$J$49))</f>
        <v/>
      </c>
      <c r="I355" s="51">
        <f>IF(A355="","",SUM('Credit Sales Tracker'!$J$2:$J$501))</f>
        <v/>
      </c>
      <c r="J355" s="51">
        <f>IF(A355="","",SUM('Creditors Tracker'!$H$2:$H$501))</f>
        <v/>
      </c>
      <c r="K355" s="49" t="n"/>
    </row>
    <row r="356">
      <c r="A356" s="52" t="n"/>
      <c r="B356" s="51">
        <f>IF(A356="","",G355)</f>
        <v/>
      </c>
      <c r="C356" s="51">
        <f>IF(A356="","",SUMIFS('Daily Sales Log'!$J:$J,'Daily Sales Log'!$A:$A,A356))</f>
        <v/>
      </c>
      <c r="D356" s="51">
        <f>IF(A356="","",SUMIFS('Credit Sales Tracker'!$H:$H,'Credit Sales Tracker'!$I:$I,A356))</f>
        <v/>
      </c>
      <c r="E356" s="51">
        <f>IF(A356="","",SUMIFS('Daily Expenses Log'!$E:$E,'Daily Expenses Log'!$A:$A,A356))</f>
        <v/>
      </c>
      <c r="F356" s="51">
        <f>IF(A356="","",SUMIFS('Creditors Tracker'!$F:$F,'Creditors Tracker'!$G:$G,A356))</f>
        <v/>
      </c>
      <c r="G356" s="51">
        <f>IF(A356="","",B356+C356+D356-E356-F356)</f>
        <v/>
      </c>
      <c r="H356" s="51">
        <f>IF(A356="","",SUM('Stock Master'!$J$2:$J$49))</f>
        <v/>
      </c>
      <c r="I356" s="51">
        <f>IF(A356="","",SUM('Credit Sales Tracker'!$J$2:$J$501))</f>
        <v/>
      </c>
      <c r="J356" s="51">
        <f>IF(A356="","",SUM('Creditors Tracker'!$H$2:$H$501))</f>
        <v/>
      </c>
      <c r="K356" s="49" t="n"/>
    </row>
    <row r="357">
      <c r="A357" s="52" t="n"/>
      <c r="B357" s="51">
        <f>IF(A357="","",G356)</f>
        <v/>
      </c>
      <c r="C357" s="51">
        <f>IF(A357="","",SUMIFS('Daily Sales Log'!$J:$J,'Daily Sales Log'!$A:$A,A357))</f>
        <v/>
      </c>
      <c r="D357" s="51">
        <f>IF(A357="","",SUMIFS('Credit Sales Tracker'!$H:$H,'Credit Sales Tracker'!$I:$I,A357))</f>
        <v/>
      </c>
      <c r="E357" s="51">
        <f>IF(A357="","",SUMIFS('Daily Expenses Log'!$E:$E,'Daily Expenses Log'!$A:$A,A357))</f>
        <v/>
      </c>
      <c r="F357" s="51">
        <f>IF(A357="","",SUMIFS('Creditors Tracker'!$F:$F,'Creditors Tracker'!$G:$G,A357))</f>
        <v/>
      </c>
      <c r="G357" s="51">
        <f>IF(A357="","",B357+C357+D357-E357-F357)</f>
        <v/>
      </c>
      <c r="H357" s="51">
        <f>IF(A357="","",SUM('Stock Master'!$J$2:$J$49))</f>
        <v/>
      </c>
      <c r="I357" s="51">
        <f>IF(A357="","",SUM('Credit Sales Tracker'!$J$2:$J$501))</f>
        <v/>
      </c>
      <c r="J357" s="51">
        <f>IF(A357="","",SUM('Creditors Tracker'!$H$2:$H$501))</f>
        <v/>
      </c>
      <c r="K357" s="49" t="n"/>
    </row>
    <row r="358">
      <c r="A358" s="52" t="n"/>
      <c r="B358" s="51">
        <f>IF(A358="","",G357)</f>
        <v/>
      </c>
      <c r="C358" s="51">
        <f>IF(A358="","",SUMIFS('Daily Sales Log'!$J:$J,'Daily Sales Log'!$A:$A,A358))</f>
        <v/>
      </c>
      <c r="D358" s="51">
        <f>IF(A358="","",SUMIFS('Credit Sales Tracker'!$H:$H,'Credit Sales Tracker'!$I:$I,A358))</f>
        <v/>
      </c>
      <c r="E358" s="51">
        <f>IF(A358="","",SUMIFS('Daily Expenses Log'!$E:$E,'Daily Expenses Log'!$A:$A,A358))</f>
        <v/>
      </c>
      <c r="F358" s="51">
        <f>IF(A358="","",SUMIFS('Creditors Tracker'!$F:$F,'Creditors Tracker'!$G:$G,A358))</f>
        <v/>
      </c>
      <c r="G358" s="51">
        <f>IF(A358="","",B358+C358+D358-E358-F358)</f>
        <v/>
      </c>
      <c r="H358" s="51">
        <f>IF(A358="","",SUM('Stock Master'!$J$2:$J$49))</f>
        <v/>
      </c>
      <c r="I358" s="51">
        <f>IF(A358="","",SUM('Credit Sales Tracker'!$J$2:$J$501))</f>
        <v/>
      </c>
      <c r="J358" s="51">
        <f>IF(A358="","",SUM('Creditors Tracker'!$H$2:$H$501))</f>
        <v/>
      </c>
      <c r="K358" s="49" t="n"/>
    </row>
    <row r="359">
      <c r="A359" s="52" t="n"/>
      <c r="B359" s="51">
        <f>IF(A359="","",G358)</f>
        <v/>
      </c>
      <c r="C359" s="51">
        <f>IF(A359="","",SUMIFS('Daily Sales Log'!$J:$J,'Daily Sales Log'!$A:$A,A359))</f>
        <v/>
      </c>
      <c r="D359" s="51">
        <f>IF(A359="","",SUMIFS('Credit Sales Tracker'!$H:$H,'Credit Sales Tracker'!$I:$I,A359))</f>
        <v/>
      </c>
      <c r="E359" s="51">
        <f>IF(A359="","",SUMIFS('Daily Expenses Log'!$E:$E,'Daily Expenses Log'!$A:$A,A359))</f>
        <v/>
      </c>
      <c r="F359" s="51">
        <f>IF(A359="","",SUMIFS('Creditors Tracker'!$F:$F,'Creditors Tracker'!$G:$G,A359))</f>
        <v/>
      </c>
      <c r="G359" s="51">
        <f>IF(A359="","",B359+C359+D359-E359-F359)</f>
        <v/>
      </c>
      <c r="H359" s="51">
        <f>IF(A359="","",SUM('Stock Master'!$J$2:$J$49))</f>
        <v/>
      </c>
      <c r="I359" s="51">
        <f>IF(A359="","",SUM('Credit Sales Tracker'!$J$2:$J$501))</f>
        <v/>
      </c>
      <c r="J359" s="51">
        <f>IF(A359="","",SUM('Creditors Tracker'!$H$2:$H$501))</f>
        <v/>
      </c>
      <c r="K359" s="49" t="n"/>
    </row>
    <row r="360">
      <c r="A360" s="52" t="n"/>
      <c r="B360" s="51">
        <f>IF(A360="","",G359)</f>
        <v/>
      </c>
      <c r="C360" s="51">
        <f>IF(A360="","",SUMIFS('Daily Sales Log'!$J:$J,'Daily Sales Log'!$A:$A,A360))</f>
        <v/>
      </c>
      <c r="D360" s="51">
        <f>IF(A360="","",SUMIFS('Credit Sales Tracker'!$H:$H,'Credit Sales Tracker'!$I:$I,A360))</f>
        <v/>
      </c>
      <c r="E360" s="51">
        <f>IF(A360="","",SUMIFS('Daily Expenses Log'!$E:$E,'Daily Expenses Log'!$A:$A,A360))</f>
        <v/>
      </c>
      <c r="F360" s="51">
        <f>IF(A360="","",SUMIFS('Creditors Tracker'!$F:$F,'Creditors Tracker'!$G:$G,A360))</f>
        <v/>
      </c>
      <c r="G360" s="51">
        <f>IF(A360="","",B360+C360+D360-E360-F360)</f>
        <v/>
      </c>
      <c r="H360" s="51">
        <f>IF(A360="","",SUM('Stock Master'!$J$2:$J$49))</f>
        <v/>
      </c>
      <c r="I360" s="51">
        <f>IF(A360="","",SUM('Credit Sales Tracker'!$J$2:$J$501))</f>
        <v/>
      </c>
      <c r="J360" s="51">
        <f>IF(A360="","",SUM('Creditors Tracker'!$H$2:$H$501))</f>
        <v/>
      </c>
      <c r="K360" s="49" t="n"/>
    </row>
    <row r="361">
      <c r="A361" s="52" t="n"/>
      <c r="B361" s="51">
        <f>IF(A361="","",G360)</f>
        <v/>
      </c>
      <c r="C361" s="51">
        <f>IF(A361="","",SUMIFS('Daily Sales Log'!$J:$J,'Daily Sales Log'!$A:$A,A361))</f>
        <v/>
      </c>
      <c r="D361" s="51">
        <f>IF(A361="","",SUMIFS('Credit Sales Tracker'!$H:$H,'Credit Sales Tracker'!$I:$I,A361))</f>
        <v/>
      </c>
      <c r="E361" s="51">
        <f>IF(A361="","",SUMIFS('Daily Expenses Log'!$E:$E,'Daily Expenses Log'!$A:$A,A361))</f>
        <v/>
      </c>
      <c r="F361" s="51">
        <f>IF(A361="","",SUMIFS('Creditors Tracker'!$F:$F,'Creditors Tracker'!$G:$G,A361))</f>
        <v/>
      </c>
      <c r="G361" s="51">
        <f>IF(A361="","",B361+C361+D361-E361-F361)</f>
        <v/>
      </c>
      <c r="H361" s="51">
        <f>IF(A361="","",SUM('Stock Master'!$J$2:$J$49))</f>
        <v/>
      </c>
      <c r="I361" s="51">
        <f>IF(A361="","",SUM('Credit Sales Tracker'!$J$2:$J$501))</f>
        <v/>
      </c>
      <c r="J361" s="51">
        <f>IF(A361="","",SUM('Creditors Tracker'!$H$2:$H$501))</f>
        <v/>
      </c>
      <c r="K361" s="49" t="n"/>
    </row>
    <row r="362">
      <c r="A362" s="52" t="n"/>
      <c r="B362" s="51">
        <f>IF(A362="","",G361)</f>
        <v/>
      </c>
      <c r="C362" s="51">
        <f>IF(A362="","",SUMIFS('Daily Sales Log'!$J:$J,'Daily Sales Log'!$A:$A,A362))</f>
        <v/>
      </c>
      <c r="D362" s="51">
        <f>IF(A362="","",SUMIFS('Credit Sales Tracker'!$H:$H,'Credit Sales Tracker'!$I:$I,A362))</f>
        <v/>
      </c>
      <c r="E362" s="51">
        <f>IF(A362="","",SUMIFS('Daily Expenses Log'!$E:$E,'Daily Expenses Log'!$A:$A,A362))</f>
        <v/>
      </c>
      <c r="F362" s="51">
        <f>IF(A362="","",SUMIFS('Creditors Tracker'!$F:$F,'Creditors Tracker'!$G:$G,A362))</f>
        <v/>
      </c>
      <c r="G362" s="51">
        <f>IF(A362="","",B362+C362+D362-E362-F362)</f>
        <v/>
      </c>
      <c r="H362" s="51">
        <f>IF(A362="","",SUM('Stock Master'!$J$2:$J$49))</f>
        <v/>
      </c>
      <c r="I362" s="51">
        <f>IF(A362="","",SUM('Credit Sales Tracker'!$J$2:$J$501))</f>
        <v/>
      </c>
      <c r="J362" s="51">
        <f>IF(A362="","",SUM('Creditors Tracker'!$H$2:$H$501))</f>
        <v/>
      </c>
      <c r="K362" s="49" t="n"/>
    </row>
    <row r="363">
      <c r="A363" s="52" t="n"/>
      <c r="B363" s="51">
        <f>IF(A363="","",G362)</f>
        <v/>
      </c>
      <c r="C363" s="51">
        <f>IF(A363="","",SUMIFS('Daily Sales Log'!$J:$J,'Daily Sales Log'!$A:$A,A363))</f>
        <v/>
      </c>
      <c r="D363" s="51">
        <f>IF(A363="","",SUMIFS('Credit Sales Tracker'!$H:$H,'Credit Sales Tracker'!$I:$I,A363))</f>
        <v/>
      </c>
      <c r="E363" s="51">
        <f>IF(A363="","",SUMIFS('Daily Expenses Log'!$E:$E,'Daily Expenses Log'!$A:$A,A363))</f>
        <v/>
      </c>
      <c r="F363" s="51">
        <f>IF(A363="","",SUMIFS('Creditors Tracker'!$F:$F,'Creditors Tracker'!$G:$G,A363))</f>
        <v/>
      </c>
      <c r="G363" s="51">
        <f>IF(A363="","",B363+C363+D363-E363-F363)</f>
        <v/>
      </c>
      <c r="H363" s="51">
        <f>IF(A363="","",SUM('Stock Master'!$J$2:$J$49))</f>
        <v/>
      </c>
      <c r="I363" s="51">
        <f>IF(A363="","",SUM('Credit Sales Tracker'!$J$2:$J$501))</f>
        <v/>
      </c>
      <c r="J363" s="51">
        <f>IF(A363="","",SUM('Creditors Tracker'!$H$2:$H$501))</f>
        <v/>
      </c>
      <c r="K363" s="49" t="n"/>
    </row>
    <row r="364">
      <c r="A364" s="52" t="n"/>
      <c r="B364" s="51">
        <f>IF(A364="","",G363)</f>
        <v/>
      </c>
      <c r="C364" s="51">
        <f>IF(A364="","",SUMIFS('Daily Sales Log'!$J:$J,'Daily Sales Log'!$A:$A,A364))</f>
        <v/>
      </c>
      <c r="D364" s="51">
        <f>IF(A364="","",SUMIFS('Credit Sales Tracker'!$H:$H,'Credit Sales Tracker'!$I:$I,A364))</f>
        <v/>
      </c>
      <c r="E364" s="51">
        <f>IF(A364="","",SUMIFS('Daily Expenses Log'!$E:$E,'Daily Expenses Log'!$A:$A,A364))</f>
        <v/>
      </c>
      <c r="F364" s="51">
        <f>IF(A364="","",SUMIFS('Creditors Tracker'!$F:$F,'Creditors Tracker'!$G:$G,A364))</f>
        <v/>
      </c>
      <c r="G364" s="51">
        <f>IF(A364="","",B364+C364+D364-E364-F364)</f>
        <v/>
      </c>
      <c r="H364" s="51">
        <f>IF(A364="","",SUM('Stock Master'!$J$2:$J$49))</f>
        <v/>
      </c>
      <c r="I364" s="51">
        <f>IF(A364="","",SUM('Credit Sales Tracker'!$J$2:$J$501))</f>
        <v/>
      </c>
      <c r="J364" s="51">
        <f>IF(A364="","",SUM('Creditors Tracker'!$H$2:$H$501))</f>
        <v/>
      </c>
      <c r="K364" s="49" t="n"/>
    </row>
    <row r="365">
      <c r="A365" s="52" t="n"/>
      <c r="B365" s="51">
        <f>IF(A365="","",G364)</f>
        <v/>
      </c>
      <c r="C365" s="51">
        <f>IF(A365="","",SUMIFS('Daily Sales Log'!$J:$J,'Daily Sales Log'!$A:$A,A365))</f>
        <v/>
      </c>
      <c r="D365" s="51">
        <f>IF(A365="","",SUMIFS('Credit Sales Tracker'!$H:$H,'Credit Sales Tracker'!$I:$I,A365))</f>
        <v/>
      </c>
      <c r="E365" s="51">
        <f>IF(A365="","",SUMIFS('Daily Expenses Log'!$E:$E,'Daily Expenses Log'!$A:$A,A365))</f>
        <v/>
      </c>
      <c r="F365" s="51">
        <f>IF(A365="","",SUMIFS('Creditors Tracker'!$F:$F,'Creditors Tracker'!$G:$G,A365))</f>
        <v/>
      </c>
      <c r="G365" s="51">
        <f>IF(A365="","",B365+C365+D365-E365-F365)</f>
        <v/>
      </c>
      <c r="H365" s="51">
        <f>IF(A365="","",SUM('Stock Master'!$J$2:$J$49))</f>
        <v/>
      </c>
      <c r="I365" s="51">
        <f>IF(A365="","",SUM('Credit Sales Tracker'!$J$2:$J$501))</f>
        <v/>
      </c>
      <c r="J365" s="51">
        <f>IF(A365="","",SUM('Creditors Tracker'!$H$2:$H$501))</f>
        <v/>
      </c>
      <c r="K365" s="49" t="n"/>
    </row>
    <row r="366">
      <c r="A366" s="52" t="n"/>
      <c r="B366" s="51">
        <f>IF(A366="","",G365)</f>
        <v/>
      </c>
      <c r="C366" s="51">
        <f>IF(A366="","",SUMIFS('Daily Sales Log'!$J:$J,'Daily Sales Log'!$A:$A,A366))</f>
        <v/>
      </c>
      <c r="D366" s="51">
        <f>IF(A366="","",SUMIFS('Credit Sales Tracker'!$H:$H,'Credit Sales Tracker'!$I:$I,A366))</f>
        <v/>
      </c>
      <c r="E366" s="51">
        <f>IF(A366="","",SUMIFS('Daily Expenses Log'!$E:$E,'Daily Expenses Log'!$A:$A,A366))</f>
        <v/>
      </c>
      <c r="F366" s="51">
        <f>IF(A366="","",SUMIFS('Creditors Tracker'!$F:$F,'Creditors Tracker'!$G:$G,A366))</f>
        <v/>
      </c>
      <c r="G366" s="51">
        <f>IF(A366="","",B366+C366+D366-E366-F366)</f>
        <v/>
      </c>
      <c r="H366" s="51">
        <f>IF(A366="","",SUM('Stock Master'!$J$2:$J$49))</f>
        <v/>
      </c>
      <c r="I366" s="51">
        <f>IF(A366="","",SUM('Credit Sales Tracker'!$J$2:$J$501))</f>
        <v/>
      </c>
      <c r="J366" s="51">
        <f>IF(A366="","",SUM('Creditors Tracker'!$H$2:$H$501))</f>
        <v/>
      </c>
      <c r="K366" s="49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3" customWidth="1" min="5" max="5"/>
    <col width="14" customWidth="1" min="6" max="6"/>
    <col width="20" customWidth="1" min="7" max="7"/>
    <col width="22" customWidth="1" min="8" max="8"/>
  </cols>
  <sheetData>
    <row r="1" ht="22" customHeight="1">
      <c r="A1" s="53" t="inlineStr">
        <is>
          <t>Daily Business Log - Manual Page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57" t="inlineStr">
        <is>
          <t>Date:</t>
        </is>
      </c>
      <c r="C2" s="57" t="inlineStr">
        <is>
          <t>Prepared by:</t>
        </is>
      </c>
      <c r="E2" s="57" t="inlineStr">
        <is>
          <t>Opening cash:</t>
        </is>
      </c>
      <c r="G2" s="57" t="inlineStr">
        <is>
          <t>Page no.:</t>
        </is>
      </c>
    </row>
    <row r="3" ht="22" customHeight="1">
      <c r="A3" s="57" t="inlineStr">
        <is>
          <t>Total cash counted at close:</t>
        </is>
      </c>
      <c r="C3" s="57" t="inlineStr">
        <is>
          <t>Expected cash:</t>
        </is>
      </c>
      <c r="E3" s="57" t="inlineStr">
        <is>
          <t>Difference:</t>
        </is>
      </c>
      <c r="G3" s="57" t="inlineStr">
        <is>
          <t>Checked by:</t>
        </is>
      </c>
    </row>
    <row r="4" ht="22" customHeight="1"/>
    <row r="5" ht="22" customHeight="1"/>
    <row r="6" ht="22" customHeight="1">
      <c r="A6" s="45" t="inlineStr">
        <is>
          <t>Sales During the Day</t>
        </is>
      </c>
      <c r="B6" s="45" t="n"/>
      <c r="C6" s="45" t="n"/>
      <c r="D6" s="45" t="n"/>
      <c r="E6" s="45" t="n"/>
      <c r="F6" s="45" t="n"/>
      <c r="G6" s="45" t="n"/>
      <c r="H6" s="45" t="n"/>
    </row>
    <row r="7" ht="22" customHeight="1">
      <c r="A7" s="58" t="inlineStr">
        <is>
          <t>Item No.</t>
        </is>
      </c>
      <c r="B7" s="58" t="inlineStr">
        <is>
          <t>Product name</t>
        </is>
      </c>
      <c r="C7" s="58" t="inlineStr">
        <is>
          <t>Qty cash</t>
        </is>
      </c>
      <c r="D7" s="58" t="inlineStr">
        <is>
          <t>Qty credit</t>
        </is>
      </c>
      <c r="E7" s="58" t="inlineStr">
        <is>
          <t>Unit price</t>
        </is>
      </c>
      <c r="F7" s="58" t="inlineStr">
        <is>
          <t>Cash received</t>
        </is>
      </c>
      <c r="G7" s="58" t="inlineStr">
        <is>
          <t>Credit customer</t>
        </is>
      </c>
      <c r="H7" s="58" t="inlineStr">
        <is>
          <t>Notes</t>
        </is>
      </c>
    </row>
    <row r="8" ht="22" customHeight="1">
      <c r="A8" s="49" t="n"/>
      <c r="B8" s="49" t="n"/>
      <c r="C8" s="49" t="n"/>
      <c r="D8" s="49" t="n"/>
      <c r="E8" s="49" t="n"/>
      <c r="F8" s="49" t="n"/>
      <c r="G8" s="49" t="n"/>
      <c r="H8" s="49" t="n"/>
    </row>
    <row r="9" ht="22" customHeight="1">
      <c r="A9" s="49" t="n"/>
      <c r="B9" s="49" t="n"/>
      <c r="C9" s="49" t="n"/>
      <c r="D9" s="49" t="n"/>
      <c r="E9" s="49" t="n"/>
      <c r="F9" s="49" t="n"/>
      <c r="G9" s="49" t="n"/>
      <c r="H9" s="49" t="n"/>
    </row>
    <row r="10" ht="22" customHeight="1">
      <c r="A10" s="49" t="n"/>
      <c r="B10" s="49" t="n"/>
      <c r="C10" s="49" t="n"/>
      <c r="D10" s="49" t="n"/>
      <c r="E10" s="49" t="n"/>
      <c r="F10" s="49" t="n"/>
      <c r="G10" s="49" t="n"/>
      <c r="H10" s="49" t="n"/>
    </row>
    <row r="11" ht="22" customHeight="1">
      <c r="A11" s="49" t="n"/>
      <c r="B11" s="49" t="n"/>
      <c r="C11" s="49" t="n"/>
      <c r="D11" s="49" t="n"/>
      <c r="E11" s="49" t="n"/>
      <c r="F11" s="49" t="n"/>
      <c r="G11" s="49" t="n"/>
      <c r="H11" s="49" t="n"/>
    </row>
    <row r="12" ht="22" customHeight="1">
      <c r="A12" s="49" t="n"/>
      <c r="B12" s="49" t="n"/>
      <c r="C12" s="49" t="n"/>
      <c r="D12" s="49" t="n"/>
      <c r="E12" s="49" t="n"/>
      <c r="F12" s="49" t="n"/>
      <c r="G12" s="49" t="n"/>
      <c r="H12" s="49" t="n"/>
    </row>
    <row r="13" ht="22" customHeight="1">
      <c r="A13" s="49" t="n"/>
      <c r="B13" s="49" t="n"/>
      <c r="C13" s="49" t="n"/>
      <c r="D13" s="49" t="n"/>
      <c r="E13" s="49" t="n"/>
      <c r="F13" s="49" t="n"/>
      <c r="G13" s="49" t="n"/>
      <c r="H13" s="49" t="n"/>
    </row>
    <row r="14" ht="22" customHeight="1">
      <c r="A14" s="49" t="n"/>
      <c r="B14" s="49" t="n"/>
      <c r="C14" s="49" t="n"/>
      <c r="D14" s="49" t="n"/>
      <c r="E14" s="49" t="n"/>
      <c r="F14" s="49" t="n"/>
      <c r="G14" s="49" t="n"/>
      <c r="H14" s="49" t="n"/>
    </row>
    <row r="15" ht="22" customHeight="1">
      <c r="A15" s="49" t="n"/>
      <c r="B15" s="49" t="n"/>
      <c r="C15" s="49" t="n"/>
      <c r="D15" s="49" t="n"/>
      <c r="E15" s="49" t="n"/>
      <c r="F15" s="49" t="n"/>
      <c r="G15" s="49" t="n"/>
      <c r="H15" s="49" t="n"/>
    </row>
    <row r="16" ht="22" customHeight="1">
      <c r="A16" s="49" t="n"/>
      <c r="B16" s="49" t="n"/>
      <c r="C16" s="49" t="n"/>
      <c r="D16" s="49" t="n"/>
      <c r="E16" s="49" t="n"/>
      <c r="F16" s="49" t="n"/>
      <c r="G16" s="49" t="n"/>
      <c r="H16" s="49" t="n"/>
    </row>
    <row r="17" ht="22" customHeight="1">
      <c r="A17" s="49" t="n"/>
      <c r="B17" s="49" t="n"/>
      <c r="C17" s="49" t="n"/>
      <c r="D17" s="49" t="n"/>
      <c r="E17" s="49" t="n"/>
      <c r="F17" s="49" t="n"/>
      <c r="G17" s="49" t="n"/>
      <c r="H17" s="49" t="n"/>
    </row>
    <row r="18" ht="22" customHeight="1">
      <c r="A18" s="49" t="n"/>
      <c r="B18" s="49" t="n"/>
      <c r="C18" s="49" t="n"/>
      <c r="D18" s="49" t="n"/>
      <c r="E18" s="49" t="n"/>
      <c r="F18" s="49" t="n"/>
      <c r="G18" s="49" t="n"/>
      <c r="H18" s="49" t="n"/>
    </row>
    <row r="19" ht="22" customHeight="1">
      <c r="A19" s="49" t="n"/>
      <c r="B19" s="49" t="n"/>
      <c r="C19" s="49" t="n"/>
      <c r="D19" s="49" t="n"/>
      <c r="E19" s="49" t="n"/>
      <c r="F19" s="49" t="n"/>
      <c r="G19" s="49" t="n"/>
      <c r="H19" s="49" t="n"/>
    </row>
    <row r="20" ht="22" customHeight="1">
      <c r="A20" s="49" t="n"/>
      <c r="B20" s="49" t="n"/>
      <c r="C20" s="49" t="n"/>
      <c r="D20" s="49" t="n"/>
      <c r="E20" s="49" t="n"/>
      <c r="F20" s="49" t="n"/>
      <c r="G20" s="49" t="n"/>
      <c r="H20" s="49" t="n"/>
    </row>
    <row r="21" ht="22" customHeight="1">
      <c r="A21" s="49" t="n"/>
      <c r="B21" s="49" t="n"/>
      <c r="C21" s="49" t="n"/>
      <c r="D21" s="49" t="n"/>
      <c r="E21" s="49" t="n"/>
      <c r="F21" s="49" t="n"/>
      <c r="G21" s="49" t="n"/>
      <c r="H21" s="49" t="n"/>
    </row>
    <row r="22" ht="22" customHeight="1">
      <c r="A22" s="49" t="n"/>
      <c r="B22" s="49" t="n"/>
      <c r="C22" s="49" t="n"/>
      <c r="D22" s="49" t="n"/>
      <c r="E22" s="49" t="n"/>
      <c r="F22" s="49" t="n"/>
      <c r="G22" s="49" t="n"/>
      <c r="H22" s="49" t="n"/>
    </row>
    <row r="23" ht="22" customHeight="1">
      <c r="A23" s="49" t="n"/>
      <c r="B23" s="49" t="n"/>
      <c r="C23" s="49" t="n"/>
      <c r="D23" s="49" t="n"/>
      <c r="E23" s="49" t="n"/>
      <c r="F23" s="49" t="n"/>
      <c r="G23" s="49" t="n"/>
      <c r="H23" s="49" t="n"/>
    </row>
    <row r="24" ht="22" customHeight="1">
      <c r="A24" s="49" t="n"/>
      <c r="B24" s="49" t="n"/>
      <c r="C24" s="49" t="n"/>
      <c r="D24" s="49" t="n"/>
      <c r="E24" s="49" t="n"/>
      <c r="F24" s="49" t="n"/>
      <c r="G24" s="49" t="n"/>
      <c r="H24" s="49" t="n"/>
    </row>
    <row r="25" ht="22" customHeight="1">
      <c r="A25" s="49" t="n"/>
      <c r="B25" s="49" t="n"/>
      <c r="C25" s="49" t="n"/>
      <c r="D25" s="49" t="n"/>
      <c r="E25" s="49" t="n"/>
      <c r="F25" s="49" t="n"/>
      <c r="G25" s="49" t="n"/>
      <c r="H25" s="49" t="n"/>
    </row>
    <row r="26" ht="22" customHeight="1">
      <c r="A26" s="49" t="n"/>
      <c r="B26" s="49" t="n"/>
      <c r="C26" s="49" t="n"/>
      <c r="D26" s="49" t="n"/>
      <c r="E26" s="49" t="n"/>
      <c r="F26" s="49" t="n"/>
      <c r="G26" s="49" t="n"/>
      <c r="H26" s="49" t="n"/>
    </row>
    <row r="27" ht="22" customHeight="1">
      <c r="A27" s="49" t="n"/>
      <c r="B27" s="49" t="n"/>
      <c r="C27" s="49" t="n"/>
      <c r="D27" s="49" t="n"/>
      <c r="E27" s="49" t="n"/>
      <c r="F27" s="49" t="n"/>
      <c r="G27" s="49" t="n"/>
      <c r="H27" s="49" t="n"/>
    </row>
    <row r="28" ht="22" customHeight="1"/>
    <row r="29" ht="22" customHeight="1"/>
    <row r="30" ht="22" customHeight="1">
      <c r="A30" s="45" t="inlineStr">
        <is>
          <t>Expenses During the Day</t>
        </is>
      </c>
      <c r="B30" s="45" t="n"/>
      <c r="C30" s="45" t="n"/>
      <c r="D30" s="45" t="n"/>
      <c r="E30" s="45" t="n"/>
      <c r="F30" s="45" t="n"/>
      <c r="G30" s="45" t="n"/>
      <c r="H30" s="45" t="n"/>
    </row>
    <row r="31" ht="22" customHeight="1">
      <c r="A31" s="58" t="inlineStr">
        <is>
          <t>Expense category</t>
        </is>
      </c>
      <c r="B31" s="58" t="inlineStr">
        <is>
          <t>Description</t>
        </is>
      </c>
      <c r="C31" s="58" t="inlineStr">
        <is>
          <t>Paid to</t>
        </is>
      </c>
      <c r="D31" s="58" t="inlineStr">
        <is>
          <t>Amount</t>
        </is>
      </c>
      <c r="E31" s="58" t="inlineStr">
        <is>
          <t>Payment method</t>
        </is>
      </c>
      <c r="F31" s="58" t="inlineStr">
        <is>
          <t>Receipt/ref</t>
        </is>
      </c>
      <c r="G31" s="58" t="inlineStr">
        <is>
          <t>Approved by</t>
        </is>
      </c>
      <c r="H31" s="58" t="inlineStr">
        <is>
          <t>Notes</t>
        </is>
      </c>
    </row>
    <row r="32" ht="22" customHeight="1">
      <c r="A32" s="49" t="n"/>
      <c r="B32" s="49" t="n"/>
      <c r="C32" s="49" t="n"/>
      <c r="D32" s="49" t="n"/>
      <c r="E32" s="49" t="n"/>
      <c r="F32" s="49" t="n"/>
      <c r="G32" s="49" t="n"/>
      <c r="H32" s="49" t="n"/>
    </row>
    <row r="33" ht="22" customHeight="1">
      <c r="A33" s="49" t="n"/>
      <c r="B33" s="49" t="n"/>
      <c r="C33" s="49" t="n"/>
      <c r="D33" s="49" t="n"/>
      <c r="E33" s="49" t="n"/>
      <c r="F33" s="49" t="n"/>
      <c r="G33" s="49" t="n"/>
      <c r="H33" s="49" t="n"/>
    </row>
    <row r="34" ht="22" customHeight="1">
      <c r="A34" s="49" t="n"/>
      <c r="B34" s="49" t="n"/>
      <c r="C34" s="49" t="n"/>
      <c r="D34" s="49" t="n"/>
      <c r="E34" s="49" t="n"/>
      <c r="F34" s="49" t="n"/>
      <c r="G34" s="49" t="n"/>
      <c r="H34" s="49" t="n"/>
    </row>
    <row r="35" ht="22" customHeight="1">
      <c r="A35" s="49" t="n"/>
      <c r="B35" s="49" t="n"/>
      <c r="C35" s="49" t="n"/>
      <c r="D35" s="49" t="n"/>
      <c r="E35" s="49" t="n"/>
      <c r="F35" s="49" t="n"/>
      <c r="G35" s="49" t="n"/>
      <c r="H35" s="49" t="n"/>
    </row>
    <row r="36" ht="22" customHeight="1">
      <c r="A36" s="49" t="n"/>
      <c r="B36" s="49" t="n"/>
      <c r="C36" s="49" t="n"/>
      <c r="D36" s="49" t="n"/>
      <c r="E36" s="49" t="n"/>
      <c r="F36" s="49" t="n"/>
      <c r="G36" s="49" t="n"/>
      <c r="H36" s="49" t="n"/>
    </row>
    <row r="37" ht="22" customHeight="1">
      <c r="A37" s="49" t="n"/>
      <c r="B37" s="49" t="n"/>
      <c r="C37" s="49" t="n"/>
      <c r="D37" s="49" t="n"/>
      <c r="E37" s="49" t="n"/>
      <c r="F37" s="49" t="n"/>
      <c r="G37" s="49" t="n"/>
      <c r="H37" s="49" t="n"/>
    </row>
    <row r="38" ht="22" customHeight="1">
      <c r="A38" s="49" t="n"/>
      <c r="B38" s="49" t="n"/>
      <c r="C38" s="49" t="n"/>
      <c r="D38" s="49" t="n"/>
      <c r="E38" s="49" t="n"/>
      <c r="F38" s="49" t="n"/>
      <c r="G38" s="49" t="n"/>
      <c r="H38" s="49" t="n"/>
    </row>
    <row r="39" ht="22" customHeight="1">
      <c r="A39" s="49" t="n"/>
      <c r="B39" s="49" t="n"/>
      <c r="C39" s="49" t="n"/>
      <c r="D39" s="49" t="n"/>
      <c r="E39" s="49" t="n"/>
      <c r="F39" s="49" t="n"/>
      <c r="G39" s="49" t="n"/>
      <c r="H39" s="49" t="n"/>
    </row>
    <row r="40" ht="22" customHeight="1">
      <c r="A40" s="49" t="n"/>
      <c r="B40" s="49" t="n"/>
      <c r="C40" s="49" t="n"/>
      <c r="D40" s="49" t="n"/>
      <c r="E40" s="49" t="n"/>
      <c r="F40" s="49" t="n"/>
      <c r="G40" s="49" t="n"/>
      <c r="H40" s="49" t="n"/>
    </row>
    <row r="41" ht="22" customHeight="1">
      <c r="A41" s="49" t="n"/>
      <c r="B41" s="49" t="n"/>
      <c r="C41" s="49" t="n"/>
      <c r="D41" s="49" t="n"/>
      <c r="E41" s="49" t="n"/>
      <c r="F41" s="49" t="n"/>
      <c r="G41" s="49" t="n"/>
      <c r="H41" s="49" t="n"/>
    </row>
    <row r="42" ht="22" customHeight="1"/>
    <row r="43" ht="22" customHeight="1"/>
    <row r="44" ht="22" customHeight="1">
      <c r="A44" s="45" t="inlineStr">
        <is>
          <t>Credit Follow-Up / Debtors and Creditors Notes</t>
        </is>
      </c>
      <c r="B44" s="45" t="n"/>
      <c r="C44" s="45" t="n"/>
      <c r="D44" s="45" t="n"/>
      <c r="E44" s="45" t="n"/>
      <c r="F44" s="45" t="n"/>
      <c r="G44" s="45" t="n"/>
      <c r="H44" s="45" t="n"/>
    </row>
    <row r="45" ht="22" customHeight="1">
      <c r="A45" s="58" t="inlineStr">
        <is>
          <t>Type</t>
        </is>
      </c>
      <c r="B45" s="58" t="inlineStr">
        <is>
          <t>Person / business</t>
        </is>
      </c>
      <c r="C45" s="58" t="inlineStr">
        <is>
          <t>Phone</t>
        </is>
      </c>
      <c r="D45" s="58" t="inlineStr">
        <is>
          <t>Description</t>
        </is>
      </c>
      <c r="E45" s="58" t="inlineStr">
        <is>
          <t>Amount</t>
        </is>
      </c>
      <c r="F45" s="58" t="inlineStr">
        <is>
          <t>Due date</t>
        </is>
      </c>
      <c r="G45" s="58" t="inlineStr">
        <is>
          <t>Action taken</t>
        </is>
      </c>
      <c r="H45" s="58" t="inlineStr">
        <is>
          <t>Notes</t>
        </is>
      </c>
    </row>
    <row r="46" ht="22" customHeight="1">
      <c r="A46" s="49" t="n"/>
      <c r="B46" s="49" t="n"/>
      <c r="C46" s="49" t="n"/>
      <c r="D46" s="49" t="n"/>
      <c r="E46" s="49" t="n"/>
      <c r="F46" s="49" t="n"/>
      <c r="G46" s="49" t="n"/>
      <c r="H46" s="49" t="n"/>
    </row>
    <row r="47" ht="22" customHeight="1">
      <c r="A47" s="49" t="n"/>
      <c r="B47" s="49" t="n"/>
      <c r="C47" s="49" t="n"/>
      <c r="D47" s="49" t="n"/>
      <c r="E47" s="49" t="n"/>
      <c r="F47" s="49" t="n"/>
      <c r="G47" s="49" t="n"/>
      <c r="H47" s="49" t="n"/>
    </row>
    <row r="48" ht="22" customHeight="1">
      <c r="A48" s="49" t="n"/>
      <c r="B48" s="49" t="n"/>
      <c r="C48" s="49" t="n"/>
      <c r="D48" s="49" t="n"/>
      <c r="E48" s="49" t="n"/>
      <c r="F48" s="49" t="n"/>
      <c r="G48" s="49" t="n"/>
      <c r="H48" s="49" t="n"/>
    </row>
    <row r="49" ht="22" customHeight="1">
      <c r="A49" s="49" t="n"/>
      <c r="B49" s="49" t="n"/>
      <c r="C49" s="49" t="n"/>
      <c r="D49" s="49" t="n"/>
      <c r="E49" s="49" t="n"/>
      <c r="F49" s="49" t="n"/>
      <c r="G49" s="49" t="n"/>
      <c r="H49" s="49" t="n"/>
    </row>
    <row r="50" ht="22" customHeight="1">
      <c r="A50" s="49" t="n"/>
      <c r="B50" s="49" t="n"/>
      <c r="C50" s="49" t="n"/>
      <c r="D50" s="49" t="n"/>
      <c r="E50" s="49" t="n"/>
      <c r="F50" s="49" t="n"/>
      <c r="G50" s="49" t="n"/>
      <c r="H50" s="49" t="n"/>
    </row>
    <row r="51" ht="22" customHeight="1">
      <c r="A51" s="49" t="n"/>
      <c r="B51" s="49" t="n"/>
      <c r="C51" s="49" t="n"/>
      <c r="D51" s="49" t="n"/>
      <c r="E51" s="49" t="n"/>
      <c r="F51" s="49" t="n"/>
      <c r="G51" s="49" t="n"/>
      <c r="H51" s="49" t="n"/>
    </row>
    <row r="52" ht="22" customHeight="1">
      <c r="A52" s="49" t="n"/>
      <c r="B52" s="49" t="n"/>
      <c r="C52" s="49" t="n"/>
      <c r="D52" s="49" t="n"/>
      <c r="E52" s="49" t="n"/>
      <c r="F52" s="49" t="n"/>
      <c r="G52" s="49" t="n"/>
      <c r="H52" s="49" t="n"/>
    </row>
    <row r="53" ht="22" customHeight="1">
      <c r="A53" s="49" t="n"/>
      <c r="B53" s="49" t="n"/>
      <c r="C53" s="49" t="n"/>
      <c r="D53" s="49" t="n"/>
      <c r="E53" s="49" t="n"/>
      <c r="F53" s="49" t="n"/>
      <c r="G53" s="49" t="n"/>
      <c r="H53" s="49" t="n"/>
    </row>
    <row r="54" ht="22" customHeight="1">
      <c r="A54" s="49" t="n"/>
      <c r="B54" s="49" t="n"/>
      <c r="C54" s="49" t="n"/>
      <c r="D54" s="49" t="n"/>
      <c r="E54" s="49" t="n"/>
      <c r="F54" s="49" t="n"/>
      <c r="G54" s="49" t="n"/>
      <c r="H54" s="49" t="n"/>
    </row>
    <row r="55" ht="22" customHeight="1">
      <c r="A55" s="49" t="n"/>
      <c r="B55" s="49" t="n"/>
      <c r="C55" s="49" t="n"/>
      <c r="D55" s="49" t="n"/>
      <c r="E55" s="49" t="n"/>
      <c r="F55" s="49" t="n"/>
      <c r="G55" s="49" t="n"/>
      <c r="H55" s="49" t="n"/>
    </row>
    <row r="56" ht="22" customHeight="1"/>
  </sheetData>
  <mergeCells count="4">
    <mergeCell ref="A30:H30"/>
    <mergeCell ref="A6:H6"/>
    <mergeCell ref="A44:H44"/>
    <mergeCell ref="A1:H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.099999904632568" customWidth="1" min="1" max="1"/>
    <col width="38" customWidth="1" min="2" max="2"/>
    <col width="9.289999961853027" customWidth="1" min="3" max="3"/>
    <col width="12.78999996185303" customWidth="1" min="4" max="4"/>
    <col width="20.04999923706055" customWidth="1" min="5" max="5"/>
    <col width="12.38000011444092" customWidth="1" min="6" max="6"/>
    <col width="19.52000045776367" customWidth="1" min="7" max="7"/>
    <col width="13.31999969482422" customWidth="1" min="8" max="8"/>
    <col width="20.19000053405762" customWidth="1" min="9" max="9"/>
    <col width="22.75" customWidth="1" min="10" max="10"/>
  </cols>
  <sheetData>
    <row r="1">
      <c r="A1" s="6" t="inlineStr">
        <is>
          <t>NO.</t>
        </is>
      </c>
      <c r="B1" s="6" t="inlineStr">
        <is>
          <t>Product name</t>
        </is>
      </c>
      <c r="C1" s="6" t="inlineStr">
        <is>
          <t>Initial stock</t>
        </is>
      </c>
      <c r="D1" s="6" t="inlineStr">
        <is>
          <t>Unit cost (RMB)</t>
        </is>
      </c>
      <c r="E1" s="6" t="inlineStr">
        <is>
          <t>Selling price/item (RMB)</t>
        </is>
      </c>
      <c r="F1" s="6" t="inlineStr">
        <is>
          <t>Unit cost (USD)</t>
        </is>
      </c>
      <c r="G1" s="6" t="inlineStr">
        <is>
          <t>Selling price/item (USD)</t>
        </is>
      </c>
      <c r="H1" s="6" t="inlineStr">
        <is>
          <t>Total cost (RMB)</t>
        </is>
      </c>
      <c r="I1" s="6" t="inlineStr">
        <is>
          <t>Expected revenue (RMB)</t>
        </is>
      </c>
      <c r="J1" s="6" t="inlineStr">
        <is>
          <t>Expected gross profit (RMB)</t>
        </is>
      </c>
    </row>
    <row r="2">
      <c r="A2" t="n">
        <v>1</v>
      </c>
      <c r="B2" t="inlineStr">
        <is>
          <t>Children's Jackets (Girls)</t>
        </is>
      </c>
      <c r="C2" s="59" t="n">
        <v>10</v>
      </c>
      <c r="D2" s="60" t="n">
        <v>55</v>
      </c>
      <c r="E2" s="60" t="n">
        <v>110</v>
      </c>
      <c r="F2" s="60" t="n">
        <v>8.130000000000001</v>
      </c>
      <c r="G2" s="60" t="n">
        <v>16.26</v>
      </c>
      <c r="H2" s="60" t="n">
        <v>550</v>
      </c>
      <c r="I2" s="60" t="n">
        <v>1100</v>
      </c>
      <c r="J2" s="60" t="n">
        <v>550</v>
      </c>
    </row>
    <row r="3">
      <c r="A3" t="n">
        <v>2</v>
      </c>
      <c r="B3" t="inlineStr">
        <is>
          <t>Children's Jackets (Boys)</t>
        </is>
      </c>
      <c r="C3" s="59" t="n">
        <v>10</v>
      </c>
      <c r="D3" s="60" t="n">
        <v>45</v>
      </c>
      <c r="E3" s="60" t="n">
        <v>90</v>
      </c>
      <c r="F3" s="60" t="n">
        <v>6.65</v>
      </c>
      <c r="G3" s="60" t="n">
        <v>13.3</v>
      </c>
      <c r="H3" s="60" t="n">
        <v>450</v>
      </c>
      <c r="I3" s="60" t="n">
        <v>900</v>
      </c>
      <c r="J3" s="60" t="n">
        <v>450</v>
      </c>
    </row>
    <row r="4">
      <c r="A4" t="n">
        <v>3</v>
      </c>
      <c r="B4" t="inlineStr">
        <is>
          <t>Toddler 2-Piece Clothing Suits</t>
        </is>
      </c>
      <c r="C4" s="59" t="n">
        <v>48</v>
      </c>
      <c r="D4" s="60" t="n">
        <v>32</v>
      </c>
      <c r="E4" s="60" t="n">
        <v>64</v>
      </c>
      <c r="F4" s="60" t="n">
        <v>4.73</v>
      </c>
      <c r="G4" s="60" t="n">
        <v>9.460000000000001</v>
      </c>
      <c r="H4" s="60" t="n">
        <v>1536</v>
      </c>
      <c r="I4" s="60" t="n">
        <v>3072</v>
      </c>
      <c r="J4" s="60" t="n">
        <v>1536</v>
      </c>
    </row>
    <row r="5">
      <c r="A5" t="n">
        <v>4</v>
      </c>
      <c r="B5" t="inlineStr">
        <is>
          <t>Children's Lace Dresses</t>
        </is>
      </c>
      <c r="C5" s="59" t="n">
        <v>10</v>
      </c>
      <c r="D5" s="60" t="n">
        <v>35</v>
      </c>
      <c r="E5" s="60" t="n">
        <v>70</v>
      </c>
      <c r="F5" s="60" t="n">
        <v>5.17</v>
      </c>
      <c r="G5" s="60" t="n">
        <v>10.35</v>
      </c>
      <c r="H5" s="60" t="n">
        <v>350</v>
      </c>
      <c r="I5" s="60" t="n">
        <v>700</v>
      </c>
      <c r="J5" s="60" t="n">
        <v>350</v>
      </c>
    </row>
    <row r="6">
      <c r="A6" t="n">
        <v>5</v>
      </c>
      <c r="B6" t="inlineStr">
        <is>
          <t>Children's Denim Ankle-Length Pants</t>
        </is>
      </c>
      <c r="C6" s="59" t="n">
        <v>5</v>
      </c>
      <c r="D6" s="60" t="n">
        <v>23</v>
      </c>
      <c r="E6" s="60" t="n">
        <v>46</v>
      </c>
      <c r="F6" s="60" t="n">
        <v>3.4</v>
      </c>
      <c r="G6" s="60" t="n">
        <v>6.8</v>
      </c>
      <c r="H6" s="60" t="n">
        <v>115</v>
      </c>
      <c r="I6" s="60" t="n">
        <v>230</v>
      </c>
      <c r="J6" s="60" t="n">
        <v>115</v>
      </c>
    </row>
    <row r="7">
      <c r="A7" t="n">
        <v>6</v>
      </c>
      <c r="B7" t="inlineStr">
        <is>
          <t>Children's Denim Casual Pants (Blue, Gold Rim)</t>
        </is>
      </c>
      <c r="C7" s="59" t="n">
        <v>5</v>
      </c>
      <c r="D7" s="60" t="n">
        <v>23</v>
      </c>
      <c r="E7" s="60" t="n">
        <v>46</v>
      </c>
      <c r="F7" s="60" t="n">
        <v>3.4</v>
      </c>
      <c r="G7" s="60" t="n">
        <v>6.8</v>
      </c>
      <c r="H7" s="60" t="n">
        <v>115</v>
      </c>
      <c r="I7" s="60" t="n">
        <v>230</v>
      </c>
      <c r="J7" s="60" t="n">
        <v>115</v>
      </c>
    </row>
    <row r="8">
      <c r="A8" t="n">
        <v>7</v>
      </c>
      <c r="B8" t="inlineStr">
        <is>
          <t>Children's Casual Ankle-Length Pants (Navy Blue)</t>
        </is>
      </c>
      <c r="C8" s="59" t="n">
        <v>5</v>
      </c>
      <c r="D8" s="60" t="n">
        <v>23</v>
      </c>
      <c r="E8" s="60" t="n">
        <v>46</v>
      </c>
      <c r="F8" s="60" t="n">
        <v>3.4</v>
      </c>
      <c r="G8" s="60" t="n">
        <v>6.8</v>
      </c>
      <c r="H8" s="60" t="n">
        <v>115</v>
      </c>
      <c r="I8" s="60" t="n">
        <v>230</v>
      </c>
      <c r="J8" s="60" t="n">
        <v>115</v>
      </c>
    </row>
    <row r="9">
      <c r="A9" t="n">
        <v>8</v>
      </c>
      <c r="B9" t="inlineStr">
        <is>
          <t>Children's Casual Cargo Trousers</t>
        </is>
      </c>
      <c r="C9" s="59" t="n">
        <v>5</v>
      </c>
      <c r="D9" s="60" t="n">
        <v>30</v>
      </c>
      <c r="E9" s="60" t="n">
        <v>60</v>
      </c>
      <c r="F9" s="60" t="n">
        <v>4.43</v>
      </c>
      <c r="G9" s="60" t="n">
        <v>8.869999999999999</v>
      </c>
      <c r="H9" s="60" t="n">
        <v>150</v>
      </c>
      <c r="I9" s="60" t="n">
        <v>300</v>
      </c>
      <c r="J9" s="60" t="n">
        <v>150</v>
      </c>
    </row>
    <row r="10">
      <c r="A10" t="n">
        <v>9</v>
      </c>
      <c r="B10" t="inlineStr">
        <is>
          <t>Children's Long &amp; Short Sleeve Matching Suits (Red)</t>
        </is>
      </c>
      <c r="C10" s="59" t="n">
        <v>10</v>
      </c>
      <c r="D10" s="60" t="n">
        <v>41</v>
      </c>
      <c r="E10" s="60" t="n">
        <v>82</v>
      </c>
      <c r="F10" s="60" t="n">
        <v>6.06</v>
      </c>
      <c r="G10" s="60" t="n">
        <v>12.12</v>
      </c>
      <c r="H10" s="60" t="n">
        <v>410</v>
      </c>
      <c r="I10" s="60" t="n">
        <v>820</v>
      </c>
      <c r="J10" s="60" t="n">
        <v>410</v>
      </c>
    </row>
    <row r="11">
      <c r="A11" t="n">
        <v>10</v>
      </c>
      <c r="B11" t="inlineStr">
        <is>
          <t>Children's 2-Piece T-Shirt &amp; Shorts Suits (Light Green)</t>
        </is>
      </c>
      <c r="C11" s="59" t="n">
        <v>5</v>
      </c>
      <c r="D11" s="60" t="n">
        <v>35</v>
      </c>
      <c r="E11" s="60" t="n">
        <v>70</v>
      </c>
      <c r="F11" s="60" t="n">
        <v>5.17</v>
      </c>
      <c r="G11" s="60" t="n">
        <v>10.35</v>
      </c>
      <c r="H11" s="60" t="n">
        <v>175</v>
      </c>
      <c r="I11" s="60" t="n">
        <v>350</v>
      </c>
      <c r="J11" s="60" t="n">
        <v>175</v>
      </c>
    </row>
    <row r="12">
      <c r="A12" t="n">
        <v>11</v>
      </c>
      <c r="B12" t="inlineStr">
        <is>
          <t>Ladies' Woven Sweaters</t>
        </is>
      </c>
      <c r="C12" s="59" t="n">
        <v>50</v>
      </c>
      <c r="D12" s="60" t="n">
        <v>30</v>
      </c>
      <c r="E12" s="60" t="n">
        <v>60</v>
      </c>
      <c r="F12" s="60" t="n">
        <v>4.43</v>
      </c>
      <c r="G12" s="60" t="n">
        <v>8.869999999999999</v>
      </c>
      <c r="H12" s="60" t="n">
        <v>1500</v>
      </c>
      <c r="I12" s="60" t="n">
        <v>3000</v>
      </c>
      <c r="J12" s="60" t="n">
        <v>1500</v>
      </c>
    </row>
    <row r="13">
      <c r="A13" t="n">
        <v>12</v>
      </c>
      <c r="B13" t="inlineStr">
        <is>
          <t>Ladies' Denim Dresses</t>
        </is>
      </c>
      <c r="C13" s="59" t="n">
        <v>20</v>
      </c>
      <c r="D13" s="60" t="n">
        <v>42</v>
      </c>
      <c r="E13" s="60" t="n">
        <v>84</v>
      </c>
      <c r="F13" s="60" t="n">
        <v>6.21</v>
      </c>
      <c r="G13" s="60" t="n">
        <v>12.42</v>
      </c>
      <c r="H13" s="60" t="n">
        <v>840</v>
      </c>
      <c r="I13" s="60" t="n">
        <v>1680</v>
      </c>
      <c r="J13" s="60" t="n">
        <v>840</v>
      </c>
    </row>
    <row r="14">
      <c r="A14" t="n">
        <v>13</v>
      </c>
      <c r="B14" t="inlineStr">
        <is>
          <t>Men's Woven Sweaters (Style 19309)</t>
        </is>
      </c>
      <c r="C14" s="59" t="n">
        <v>12</v>
      </c>
      <c r="D14" s="60" t="n">
        <v>35</v>
      </c>
      <c r="E14" s="60" t="n">
        <v>70</v>
      </c>
      <c r="F14" s="60" t="n">
        <v>5.17</v>
      </c>
      <c r="G14" s="60" t="n">
        <v>10.35</v>
      </c>
      <c r="H14" s="60" t="n">
        <v>420</v>
      </c>
      <c r="I14" s="60" t="n">
        <v>840</v>
      </c>
      <c r="J14" s="60" t="n">
        <v>420</v>
      </c>
    </row>
    <row r="15">
      <c r="A15" t="n">
        <v>14</v>
      </c>
      <c r="B15" t="inlineStr">
        <is>
          <t>Men's Woven Sweaters (Style 8102)</t>
        </is>
      </c>
      <c r="C15" s="59" t="n">
        <v>12</v>
      </c>
      <c r="D15" s="60" t="n">
        <v>30</v>
      </c>
      <c r="E15" s="60" t="n">
        <v>60</v>
      </c>
      <c r="F15" s="60" t="n">
        <v>4.43</v>
      </c>
      <c r="G15" s="60" t="n">
        <v>8.869999999999999</v>
      </c>
      <c r="H15" s="60" t="n">
        <v>360</v>
      </c>
      <c r="I15" s="60" t="n">
        <v>720</v>
      </c>
      <c r="J15" s="60" t="n">
        <v>360</v>
      </c>
    </row>
    <row r="16">
      <c r="A16" t="n">
        <v>15</v>
      </c>
      <c r="B16" t="inlineStr">
        <is>
          <t>Commercial Stationery Writing Pens</t>
        </is>
      </c>
      <c r="C16" s="59" t="n">
        <v>88</v>
      </c>
      <c r="D16" s="60" t="n">
        <v>3.5</v>
      </c>
      <c r="E16" s="60" t="n">
        <v>7</v>
      </c>
      <c r="F16" s="60" t="n">
        <v>0.52</v>
      </c>
      <c r="G16" s="60" t="n">
        <v>1.03</v>
      </c>
      <c r="H16" s="60" t="n">
        <v>308</v>
      </c>
      <c r="I16" s="60" t="n">
        <v>616</v>
      </c>
      <c r="J16" s="60" t="n">
        <v>308</v>
      </c>
    </row>
    <row r="17">
      <c r="A17" t="n">
        <v>16</v>
      </c>
      <c r="B17" t="inlineStr">
        <is>
          <t>Ladies' Fashion Dresses</t>
        </is>
      </c>
      <c r="C17" s="59" t="n">
        <v>83</v>
      </c>
      <c r="D17" s="60" t="n">
        <v>11.51</v>
      </c>
      <c r="E17" s="60" t="n">
        <v>23.02</v>
      </c>
      <c r="F17" s="60" t="n">
        <v>1.7</v>
      </c>
      <c r="G17" s="60" t="n">
        <v>3.4</v>
      </c>
      <c r="H17" s="60" t="n">
        <v>955.33</v>
      </c>
      <c r="I17" s="60" t="n">
        <v>1910.66</v>
      </c>
      <c r="J17" s="60" t="n">
        <v>955.33</v>
      </c>
    </row>
    <row r="18">
      <c r="A18" t="n">
        <v>17</v>
      </c>
      <c r="B18" t="inlineStr">
        <is>
          <t>Ladies' Long Dresses</t>
        </is>
      </c>
      <c r="C18" s="59" t="n">
        <v>24</v>
      </c>
      <c r="D18" s="60" t="n">
        <v>25</v>
      </c>
      <c r="E18" s="60" t="n">
        <v>50</v>
      </c>
      <c r="F18" s="60" t="n">
        <v>3.69</v>
      </c>
      <c r="G18" s="60" t="n">
        <v>7.39</v>
      </c>
      <c r="H18" s="60" t="n">
        <v>600</v>
      </c>
      <c r="I18" s="60" t="n">
        <v>1200</v>
      </c>
      <c r="J18" s="60" t="n">
        <v>600</v>
      </c>
    </row>
    <row r="19">
      <c r="A19" t="n">
        <v>18</v>
      </c>
      <c r="B19" t="inlineStr">
        <is>
          <t>Ladies' Black Dresses</t>
        </is>
      </c>
      <c r="C19" s="59" t="n">
        <v>10</v>
      </c>
      <c r="D19" s="60" t="n">
        <v>45</v>
      </c>
      <c r="E19" s="60" t="n">
        <v>90</v>
      </c>
      <c r="F19" s="60" t="n">
        <v>6.65</v>
      </c>
      <c r="G19" s="60" t="n">
        <v>13.3</v>
      </c>
      <c r="H19" s="60" t="n">
        <v>450</v>
      </c>
      <c r="I19" s="60" t="n">
        <v>900</v>
      </c>
      <c r="J19" s="60" t="n">
        <v>450</v>
      </c>
    </row>
    <row r="20">
      <c r="A20" t="n">
        <v>19</v>
      </c>
      <c r="B20" t="inlineStr">
        <is>
          <t>Ladies' 2-Piece Suits (Brown)</t>
        </is>
      </c>
      <c r="C20" s="59" t="n">
        <v>1</v>
      </c>
      <c r="D20" s="60" t="n">
        <v>40</v>
      </c>
      <c r="E20" s="60" t="n">
        <v>80</v>
      </c>
      <c r="F20" s="60" t="n">
        <v>5.91</v>
      </c>
      <c r="G20" s="60" t="n">
        <v>11.82</v>
      </c>
      <c r="H20" s="60" t="n">
        <v>40</v>
      </c>
      <c r="I20" s="60" t="n">
        <v>80</v>
      </c>
      <c r="J20" s="60" t="n">
        <v>40</v>
      </c>
    </row>
    <row r="21">
      <c r="A21" t="n">
        <v>20</v>
      </c>
      <c r="B21" t="inlineStr">
        <is>
          <t>Fashion Jackets (Maroon)</t>
        </is>
      </c>
      <c r="C21" s="59" t="n">
        <v>10</v>
      </c>
      <c r="D21" s="60" t="n">
        <v>45</v>
      </c>
      <c r="E21" s="60" t="n">
        <v>90</v>
      </c>
      <c r="F21" s="60" t="n">
        <v>6.65</v>
      </c>
      <c r="G21" s="60" t="n">
        <v>13.3</v>
      </c>
      <c r="H21" s="60" t="n">
        <v>450</v>
      </c>
      <c r="I21" s="60" t="n">
        <v>900</v>
      </c>
      <c r="J21" s="60" t="n">
        <v>450</v>
      </c>
    </row>
    <row r="22">
      <c r="A22" t="n">
        <v>21</v>
      </c>
      <c r="B22" t="inlineStr">
        <is>
          <t>Fashion Jackets (Blue)</t>
        </is>
      </c>
      <c r="C22" s="59" t="n">
        <v>10</v>
      </c>
      <c r="D22" s="60" t="n">
        <v>45</v>
      </c>
      <c r="E22" s="60" t="n">
        <v>90</v>
      </c>
      <c r="F22" s="60" t="n">
        <v>6.65</v>
      </c>
      <c r="G22" s="60" t="n">
        <v>13.3</v>
      </c>
      <c r="H22" s="60" t="n">
        <v>450</v>
      </c>
      <c r="I22" s="60" t="n">
        <v>900</v>
      </c>
      <c r="J22" s="60" t="n">
        <v>450</v>
      </c>
    </row>
    <row r="23">
      <c r="A23" t="n">
        <v>22</v>
      </c>
      <c r="B23" t="inlineStr">
        <is>
          <t>Ladies' Knitted Scarves (Style A)</t>
        </is>
      </c>
      <c r="C23" s="59" t="n">
        <v>20</v>
      </c>
      <c r="D23" s="60" t="n">
        <v>17</v>
      </c>
      <c r="E23" s="60" t="n">
        <v>34</v>
      </c>
      <c r="F23" s="60" t="n">
        <v>2.51</v>
      </c>
      <c r="G23" s="60" t="n">
        <v>5.03</v>
      </c>
      <c r="H23" s="60" t="n">
        <v>340</v>
      </c>
      <c r="I23" s="60" t="n">
        <v>680</v>
      </c>
      <c r="J23" s="60" t="n">
        <v>340</v>
      </c>
    </row>
    <row r="24">
      <c r="A24" t="n">
        <v>23</v>
      </c>
      <c r="B24" t="inlineStr">
        <is>
          <t>Ladies' Woven Ponchos / Shawls</t>
        </is>
      </c>
      <c r="C24" s="59" t="n">
        <v>10</v>
      </c>
      <c r="D24" s="60" t="n">
        <v>38</v>
      </c>
      <c r="E24" s="60" t="n">
        <v>76</v>
      </c>
      <c r="F24" s="60" t="n">
        <v>5.62</v>
      </c>
      <c r="G24" s="60" t="n">
        <v>11.23</v>
      </c>
      <c r="H24" s="60" t="n">
        <v>380</v>
      </c>
      <c r="I24" s="60" t="n">
        <v>760</v>
      </c>
      <c r="J24" s="60" t="n">
        <v>380</v>
      </c>
    </row>
    <row r="25">
      <c r="A25" t="n">
        <v>24</v>
      </c>
      <c r="B25" t="inlineStr">
        <is>
          <t>Ladies' Textile Head Wraps</t>
        </is>
      </c>
      <c r="C25" s="59" t="n">
        <v>22</v>
      </c>
      <c r="D25" s="60" t="n">
        <v>5</v>
      </c>
      <c r="E25" s="60" t="n">
        <v>10</v>
      </c>
      <c r="F25" s="60" t="n">
        <v>0.74</v>
      </c>
      <c r="G25" s="60" t="n">
        <v>1.48</v>
      </c>
      <c r="H25" s="60" t="n">
        <v>110</v>
      </c>
      <c r="I25" s="60" t="n">
        <v>220</v>
      </c>
      <c r="J25" s="60" t="n">
        <v>110</v>
      </c>
    </row>
    <row r="26">
      <c r="A26" t="n">
        <v>25</v>
      </c>
      <c r="B26" t="inlineStr">
        <is>
          <t>Ladies' Sleeveless Ponchos / Capes</t>
        </is>
      </c>
      <c r="C26" s="59" t="n">
        <v>10</v>
      </c>
      <c r="D26" s="60" t="n">
        <v>26</v>
      </c>
      <c r="E26" s="60" t="n">
        <v>52</v>
      </c>
      <c r="F26" s="60" t="n">
        <v>3.84</v>
      </c>
      <c r="G26" s="60" t="n">
        <v>7.69</v>
      </c>
      <c r="H26" s="60" t="n">
        <v>260</v>
      </c>
      <c r="I26" s="60" t="n">
        <v>520</v>
      </c>
      <c r="J26" s="60" t="n">
        <v>260</v>
      </c>
    </row>
    <row r="27">
      <c r="A27" t="n">
        <v>26</v>
      </c>
      <c r="B27" t="inlineStr">
        <is>
          <t>Ladies' Lightweight Scarves (Style B)</t>
        </is>
      </c>
      <c r="C27" s="59" t="n">
        <v>20</v>
      </c>
      <c r="D27" s="60" t="n">
        <v>10</v>
      </c>
      <c r="E27" s="60" t="n">
        <v>20</v>
      </c>
      <c r="F27" s="60" t="n">
        <v>1.48</v>
      </c>
      <c r="G27" s="60" t="n">
        <v>2.96</v>
      </c>
      <c r="H27" s="60" t="n">
        <v>200</v>
      </c>
      <c r="I27" s="60" t="n">
        <v>400</v>
      </c>
      <c r="J27" s="60" t="n">
        <v>200</v>
      </c>
    </row>
    <row r="28">
      <c r="A28" t="n">
        <v>27</v>
      </c>
      <c r="B28" t="inlineStr">
        <is>
          <t>Ladies' Fashion Dresses (Green &amp; Black)</t>
        </is>
      </c>
      <c r="C28" s="59" t="n">
        <v>10</v>
      </c>
      <c r="D28" s="60" t="n">
        <v>45</v>
      </c>
      <c r="E28" s="60" t="n">
        <v>90</v>
      </c>
      <c r="F28" s="60" t="n">
        <v>6.65</v>
      </c>
      <c r="G28" s="60" t="n">
        <v>13.3</v>
      </c>
      <c r="H28" s="60" t="n">
        <v>450</v>
      </c>
      <c r="I28" s="60" t="n">
        <v>900</v>
      </c>
      <c r="J28" s="60" t="n">
        <v>450</v>
      </c>
    </row>
    <row r="29">
      <c r="A29" t="n">
        <v>28</v>
      </c>
      <c r="B29" t="inlineStr">
        <is>
          <t>Ladies' Denim Dresses</t>
        </is>
      </c>
      <c r="C29" s="59" t="n">
        <v>10</v>
      </c>
      <c r="D29" s="60" t="n">
        <v>45</v>
      </c>
      <c r="E29" s="60" t="n">
        <v>90</v>
      </c>
      <c r="F29" s="60" t="n">
        <v>6.65</v>
      </c>
      <c r="G29" s="60" t="n">
        <v>13.3</v>
      </c>
      <c r="H29" s="60" t="n">
        <v>450</v>
      </c>
      <c r="I29" s="60" t="n">
        <v>900</v>
      </c>
      <c r="J29" s="60" t="n">
        <v>450</v>
      </c>
    </row>
    <row r="30">
      <c r="A30" t="n">
        <v>29</v>
      </c>
      <c r="B30" t="inlineStr">
        <is>
          <t>Ladies' Small Pouch Bags</t>
        </is>
      </c>
      <c r="C30" s="59" t="n">
        <v>8</v>
      </c>
      <c r="D30" s="60" t="n">
        <v>25</v>
      </c>
      <c r="E30" s="60" t="n">
        <v>50</v>
      </c>
      <c r="F30" s="60" t="n">
        <v>3.69</v>
      </c>
      <c r="G30" s="60" t="n">
        <v>7.39</v>
      </c>
      <c r="H30" s="60" t="n">
        <v>200</v>
      </c>
      <c r="I30" s="60" t="n">
        <v>400</v>
      </c>
      <c r="J30" s="60" t="n">
        <v>200</v>
      </c>
    </row>
    <row r="31">
      <c r="A31" t="n">
        <v>30</v>
      </c>
      <c r="B31" t="inlineStr">
        <is>
          <t>Casual Sports Shoes / Takkies</t>
        </is>
      </c>
      <c r="C31" s="59" t="n">
        <v>11</v>
      </c>
      <c r="D31" s="60" t="n">
        <v>55</v>
      </c>
      <c r="E31" s="60" t="n">
        <v>110</v>
      </c>
      <c r="F31" s="60" t="n">
        <v>8.130000000000001</v>
      </c>
      <c r="G31" s="60" t="n">
        <v>16.26</v>
      </c>
      <c r="H31" s="60" t="n">
        <v>605</v>
      </c>
      <c r="I31" s="60" t="n">
        <v>1210</v>
      </c>
      <c r="J31" s="60" t="n">
        <v>605</v>
      </c>
    </row>
    <row r="32">
      <c r="A32" t="n">
        <v>31</v>
      </c>
      <c r="B32" t="inlineStr">
        <is>
          <t>Smart Audio Eyewear (Bluetooth Glasses)</t>
        </is>
      </c>
      <c r="C32" s="59" t="n">
        <v>27</v>
      </c>
      <c r="D32" s="60" t="n">
        <v>50</v>
      </c>
      <c r="E32" s="60" t="n">
        <v>100</v>
      </c>
      <c r="F32" s="60" t="n">
        <v>7.39</v>
      </c>
      <c r="G32" s="60" t="n">
        <v>14.78</v>
      </c>
      <c r="H32" s="60" t="n">
        <v>1350</v>
      </c>
      <c r="I32" s="60" t="n">
        <v>2700</v>
      </c>
      <c r="J32" s="60" t="n">
        <v>1350</v>
      </c>
    </row>
    <row r="33">
      <c r="A33" t="n">
        <v>32</v>
      </c>
      <c r="B33" t="inlineStr">
        <is>
          <t>Dual-Function USB Wall Power Adapters (Phone Charger)</t>
        </is>
      </c>
      <c r="C33" s="59" t="n">
        <v>100</v>
      </c>
      <c r="D33" s="60" t="n">
        <v>6</v>
      </c>
      <c r="E33" s="60" t="n">
        <v>12</v>
      </c>
      <c r="F33" s="60" t="n">
        <v>0.89</v>
      </c>
      <c r="G33" s="60" t="n">
        <v>1.77</v>
      </c>
      <c r="H33" s="60" t="n">
        <v>600</v>
      </c>
      <c r="I33" s="60" t="n">
        <v>1200</v>
      </c>
      <c r="J33" s="60" t="n">
        <v>600</v>
      </c>
    </row>
    <row r="34">
      <c r="A34" t="n">
        <v>33</v>
      </c>
      <c r="B34" t="inlineStr">
        <is>
          <t>Ladies' Fashion T-Shirts (Type A)</t>
        </is>
      </c>
      <c r="C34" s="59" t="n">
        <v>5</v>
      </c>
      <c r="D34" s="60" t="n">
        <v>52</v>
      </c>
      <c r="E34" s="60" t="n">
        <v>104</v>
      </c>
      <c r="F34" s="60" t="n">
        <v>7.69</v>
      </c>
      <c r="G34" s="60" t="n">
        <v>15.37</v>
      </c>
      <c r="H34" s="60" t="n">
        <v>260</v>
      </c>
      <c r="I34" s="60" t="n">
        <v>520</v>
      </c>
      <c r="J34" s="60" t="n">
        <v>260</v>
      </c>
    </row>
    <row r="35">
      <c r="A35" t="n">
        <v>34</v>
      </c>
      <c r="B35" t="inlineStr">
        <is>
          <t>Ladies' Fashion T-Shirts (Type B)</t>
        </is>
      </c>
      <c r="C35" s="59" t="n">
        <v>5</v>
      </c>
      <c r="D35" s="60" t="n">
        <v>46</v>
      </c>
      <c r="E35" s="60" t="n">
        <v>92</v>
      </c>
      <c r="F35" s="60" t="n">
        <v>6.8</v>
      </c>
      <c r="G35" s="60" t="n">
        <v>13.6</v>
      </c>
      <c r="H35" s="60" t="n">
        <v>230</v>
      </c>
      <c r="I35" s="60" t="n">
        <v>460</v>
      </c>
      <c r="J35" s="60" t="n">
        <v>230</v>
      </c>
    </row>
    <row r="36">
      <c r="A36" t="n">
        <v>35</v>
      </c>
      <c r="B36" t="inlineStr">
        <is>
          <t>Ladies' Fashion Cargo Dresses (Style A)</t>
        </is>
      </c>
      <c r="C36" s="59" t="n">
        <v>5</v>
      </c>
      <c r="D36" s="60" t="n">
        <v>110</v>
      </c>
      <c r="E36" s="60" t="n">
        <v>220</v>
      </c>
      <c r="F36" s="60" t="n">
        <v>16.26</v>
      </c>
      <c r="G36" s="60" t="n">
        <v>32.52</v>
      </c>
      <c r="H36" s="60" t="n">
        <v>550</v>
      </c>
      <c r="I36" s="60" t="n">
        <v>1100</v>
      </c>
      <c r="J36" s="60" t="n">
        <v>550</v>
      </c>
    </row>
    <row r="37">
      <c r="A37" t="n">
        <v>36</v>
      </c>
      <c r="B37" t="inlineStr">
        <is>
          <t>Ladies' Fashion Cargo Dresses (Style B)</t>
        </is>
      </c>
      <c r="C37" s="59" t="n">
        <v>5</v>
      </c>
      <c r="D37" s="60" t="n">
        <v>120</v>
      </c>
      <c r="E37" s="60" t="n">
        <v>240</v>
      </c>
      <c r="F37" s="60" t="n">
        <v>17.74</v>
      </c>
      <c r="G37" s="60" t="n">
        <v>35.47</v>
      </c>
      <c r="H37" s="60" t="n">
        <v>600</v>
      </c>
      <c r="I37" s="60" t="n">
        <v>1200</v>
      </c>
      <c r="J37" s="60" t="n">
        <v>600</v>
      </c>
    </row>
    <row r="38">
      <c r="A38" t="n">
        <v>37</v>
      </c>
      <c r="B38" t="inlineStr">
        <is>
          <t>Knitted Sweaters</t>
        </is>
      </c>
      <c r="C38" s="59" t="n">
        <v>81</v>
      </c>
      <c r="D38" s="60" t="n">
        <v>37</v>
      </c>
      <c r="E38" s="60" t="n">
        <v>74</v>
      </c>
      <c r="F38" s="60" t="n">
        <v>5.47</v>
      </c>
      <c r="G38" s="60" t="n">
        <v>10.94</v>
      </c>
      <c r="H38" s="60" t="n">
        <v>2997</v>
      </c>
      <c r="I38" s="60" t="n">
        <v>5994</v>
      </c>
      <c r="J38" s="60" t="n">
        <v>2997</v>
      </c>
    </row>
    <row r="39">
      <c r="A39" t="n">
        <v>38</v>
      </c>
      <c r="B39" t="inlineStr">
        <is>
          <t>Men's Fashion T-Shirts</t>
        </is>
      </c>
      <c r="C39" s="59" t="n">
        <v>10</v>
      </c>
      <c r="D39" s="60" t="n">
        <v>45</v>
      </c>
      <c r="E39" s="60" t="n">
        <v>90</v>
      </c>
      <c r="F39" s="60" t="n">
        <v>6.65</v>
      </c>
      <c r="G39" s="60" t="n">
        <v>13.3</v>
      </c>
      <c r="H39" s="60" t="n">
        <v>450</v>
      </c>
      <c r="I39" s="60" t="n">
        <v>900</v>
      </c>
      <c r="J39" s="60" t="n">
        <v>450</v>
      </c>
    </row>
    <row r="40">
      <c r="A40" t="n">
        <v>39</v>
      </c>
      <c r="B40" t="inlineStr">
        <is>
          <t>Ladies' Fashion Skirts</t>
        </is>
      </c>
      <c r="C40" s="59" t="n">
        <v>10</v>
      </c>
      <c r="D40" s="60" t="n">
        <v>38</v>
      </c>
      <c r="E40" s="60" t="n">
        <v>76</v>
      </c>
      <c r="F40" s="60" t="n">
        <v>5.62</v>
      </c>
      <c r="G40" s="60" t="n">
        <v>11.23</v>
      </c>
      <c r="H40" s="60" t="n">
        <v>380</v>
      </c>
      <c r="I40" s="60" t="n">
        <v>760</v>
      </c>
      <c r="J40" s="60" t="n">
        <v>380</v>
      </c>
    </row>
    <row r="41">
      <c r="A41" t="n">
        <v>40</v>
      </c>
      <c r="B41" t="inlineStr">
        <is>
          <t>High-Speed USB Data Cables</t>
        </is>
      </c>
      <c r="C41" s="59" t="n">
        <v>100</v>
      </c>
      <c r="D41" s="60" t="n">
        <v>1.5</v>
      </c>
      <c r="E41" s="60" t="n">
        <v>3</v>
      </c>
      <c r="F41" s="60" t="n">
        <v>0.22</v>
      </c>
      <c r="G41" s="60" t="n">
        <v>0.44</v>
      </c>
      <c r="H41" s="60" t="n">
        <v>150</v>
      </c>
      <c r="I41" s="60" t="n">
        <v>300</v>
      </c>
      <c r="J41" s="60" t="n">
        <v>150</v>
      </c>
    </row>
    <row r="42">
      <c r="A42" t="n">
        <v>41</v>
      </c>
      <c r="B42" t="inlineStr">
        <is>
          <t>Children's Fashion Dresses (Yellow/Orange)</t>
        </is>
      </c>
      <c r="C42" s="59" t="n">
        <v>4</v>
      </c>
      <c r="D42" s="60" t="n">
        <v>29</v>
      </c>
      <c r="E42" s="60" t="n">
        <v>58</v>
      </c>
      <c r="F42" s="60" t="n">
        <v>4.29</v>
      </c>
      <c r="G42" s="60" t="n">
        <v>8.57</v>
      </c>
      <c r="H42" s="60" t="n">
        <v>116</v>
      </c>
      <c r="I42" s="60" t="n">
        <v>232</v>
      </c>
      <c r="J42" s="60" t="n">
        <v>116</v>
      </c>
    </row>
    <row r="43">
      <c r="A43" t="n">
        <v>42</v>
      </c>
      <c r="B43" t="inlineStr">
        <is>
          <t>Ladies' Straight Dresses (Long)</t>
        </is>
      </c>
      <c r="C43" s="59" t="n">
        <v>10</v>
      </c>
      <c r="D43" s="60" t="n">
        <v>28</v>
      </c>
      <c r="E43" s="60" t="n">
        <v>56</v>
      </c>
      <c r="F43" s="60" t="n">
        <v>4.14</v>
      </c>
      <c r="G43" s="60" t="n">
        <v>8.279999999999999</v>
      </c>
      <c r="H43" s="60" t="n">
        <v>280</v>
      </c>
      <c r="I43" s="60" t="n">
        <v>560</v>
      </c>
      <c r="J43" s="60" t="n">
        <v>280</v>
      </c>
    </row>
    <row r="44">
      <c r="A44" t="n">
        <v>43</v>
      </c>
      <c r="B44" t="inlineStr">
        <is>
          <t>Ladies' Straight Dresses (Short)</t>
        </is>
      </c>
      <c r="C44" s="59" t="n">
        <v>10</v>
      </c>
      <c r="D44" s="60" t="n">
        <v>25</v>
      </c>
      <c r="E44" s="60" t="n">
        <v>50</v>
      </c>
      <c r="F44" s="60" t="n">
        <v>3.69</v>
      </c>
      <c r="G44" s="60" t="n">
        <v>7.39</v>
      </c>
      <c r="H44" s="60" t="n">
        <v>250</v>
      </c>
      <c r="I44" s="60" t="n">
        <v>500</v>
      </c>
      <c r="J44" s="60" t="n">
        <v>250</v>
      </c>
    </row>
    <row r="45">
      <c r="A45" t="n">
        <v>44</v>
      </c>
      <c r="B45" t="inlineStr">
        <is>
          <t>Ladies' Colorful Long Dresses (Style A)</t>
        </is>
      </c>
      <c r="C45" s="59" t="n">
        <v>5</v>
      </c>
      <c r="D45" s="60" t="n">
        <v>45</v>
      </c>
      <c r="E45" s="60" t="n">
        <v>90</v>
      </c>
      <c r="F45" s="60" t="n">
        <v>6.65</v>
      </c>
      <c r="G45" s="60" t="n">
        <v>13.3</v>
      </c>
      <c r="H45" s="60" t="n">
        <v>225</v>
      </c>
      <c r="I45" s="60" t="n">
        <v>450</v>
      </c>
      <c r="J45" s="60" t="n">
        <v>225</v>
      </c>
    </row>
    <row r="46">
      <c r="A46" t="n">
        <v>45</v>
      </c>
      <c r="B46" t="inlineStr">
        <is>
          <t>Ladies' Colorful Long Dresses (Style B)</t>
        </is>
      </c>
      <c r="C46" s="59" t="n">
        <v>5</v>
      </c>
      <c r="D46" s="60" t="n">
        <v>40</v>
      </c>
      <c r="E46" s="60" t="n">
        <v>80</v>
      </c>
      <c r="F46" s="60" t="n">
        <v>5.91</v>
      </c>
      <c r="G46" s="60" t="n">
        <v>11.82</v>
      </c>
      <c r="H46" s="60" t="n">
        <v>200</v>
      </c>
      <c r="I46" s="60" t="n">
        <v>400</v>
      </c>
      <c r="J46" s="60" t="n">
        <v>200</v>
      </c>
    </row>
    <row r="47">
      <c r="A47" t="n">
        <v>46</v>
      </c>
      <c r="B47" t="inlineStr">
        <is>
          <t>Generic Perfumes / Fragrances</t>
        </is>
      </c>
      <c r="C47" s="59" t="n">
        <v>100</v>
      </c>
      <c r="D47" s="60" t="n">
        <v>15.3</v>
      </c>
      <c r="E47" s="60" t="n">
        <v>30.6</v>
      </c>
      <c r="F47" s="60" t="n">
        <v>2.26</v>
      </c>
      <c r="G47" s="60" t="n">
        <v>4.52</v>
      </c>
      <c r="H47" s="60" t="n">
        <v>1530</v>
      </c>
      <c r="I47" s="60" t="n">
        <v>3060</v>
      </c>
      <c r="J47" s="60" t="n">
        <v>1530</v>
      </c>
    </row>
    <row r="48">
      <c r="A48" t="n">
        <v>47</v>
      </c>
      <c r="B48" t="inlineStr">
        <is>
          <t>Ladies' Fashion Cargo Dresses (Style C)</t>
        </is>
      </c>
      <c r="C48" s="59" t="n">
        <v>4</v>
      </c>
      <c r="D48" s="60" t="n">
        <v>120</v>
      </c>
      <c r="E48" s="60" t="n">
        <v>240</v>
      </c>
      <c r="F48" s="60" t="n">
        <v>17.74</v>
      </c>
      <c r="G48" s="60" t="n">
        <v>35.47</v>
      </c>
      <c r="H48" s="60" t="n">
        <v>480</v>
      </c>
      <c r="I48" s="60" t="n">
        <v>960</v>
      </c>
      <c r="J48" s="60" t="n">
        <v>480</v>
      </c>
    </row>
    <row r="49">
      <c r="A49" t="n">
        <v>48</v>
      </c>
      <c r="B49" t="inlineStr">
        <is>
          <t>Ladies' Fashion Cargo Dresses (Style D)</t>
        </is>
      </c>
      <c r="C49" s="59" t="n">
        <v>4</v>
      </c>
      <c r="D49" s="60" t="n">
        <v>108</v>
      </c>
      <c r="E49" s="60" t="n">
        <v>216</v>
      </c>
      <c r="F49" s="60" t="n">
        <v>15.96</v>
      </c>
      <c r="G49" s="60" t="n">
        <v>31.92</v>
      </c>
      <c r="H49" s="60" t="n">
        <v>432</v>
      </c>
      <c r="I49" s="60" t="n">
        <v>864</v>
      </c>
      <c r="J49" s="60" t="n">
        <v>432</v>
      </c>
    </row>
    <row r="50">
      <c r="A50" s="14" t="str"/>
      <c r="B50" s="14" t="inlineStr">
        <is>
          <t>TOTAL</t>
        </is>
      </c>
      <c r="C50" s="61" t="n">
        <v>1044</v>
      </c>
      <c r="D50" s="62" t="str"/>
      <c r="E50" s="62" t="str"/>
      <c r="F50" s="62" t="str"/>
      <c r="G50" s="62" t="str"/>
      <c r="H50" s="62" t="n">
        <v>24414.33</v>
      </c>
      <c r="I50" s="62" t="n">
        <v>48828.66</v>
      </c>
      <c r="J50" s="62" t="n">
        <v>24414.33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9.2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</v>
      </c>
    </row>
    <row r="3">
      <c r="A3" s="31" t="inlineStr">
        <is>
          <t>Product name</t>
        </is>
      </c>
      <c r="B3" s="34" t="inlineStr">
        <is>
          <t>Children's Jackets (Girls)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55</v>
      </c>
    </row>
    <row r="6">
      <c r="A6" s="31" t="inlineStr">
        <is>
          <t>Selling price/item (RMB)</t>
        </is>
      </c>
      <c r="B6" s="63" t="n">
        <v>110</v>
      </c>
    </row>
    <row r="7">
      <c r="A7" s="31" t="inlineStr">
        <is>
          <t>Unit cost (USD)</t>
        </is>
      </c>
      <c r="B7" s="63" t="n">
        <v>8.130000000000001</v>
      </c>
    </row>
    <row r="8">
      <c r="A8" s="31" t="inlineStr">
        <is>
          <t>Selling price/item (USD)</t>
        </is>
      </c>
      <c r="B8" s="63" t="n">
        <v>16.26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9.37999916076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</v>
      </c>
    </row>
    <row r="3">
      <c r="A3" s="31" t="inlineStr">
        <is>
          <t>Product name</t>
        </is>
      </c>
      <c r="B3" s="34" t="inlineStr">
        <is>
          <t>Children's Jackets (Boys)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3.6900005340576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</v>
      </c>
    </row>
    <row r="3">
      <c r="A3" s="31" t="inlineStr">
        <is>
          <t>Product name</t>
        </is>
      </c>
      <c r="B3" s="34" t="inlineStr">
        <is>
          <t>Toddler 2-Piece Clothing Suits</t>
        </is>
      </c>
    </row>
    <row r="4">
      <c r="A4" s="31" t="inlineStr">
        <is>
          <t>Initial stock quantity</t>
        </is>
      </c>
      <c r="B4" s="34" t="n">
        <v>48</v>
      </c>
    </row>
    <row r="5">
      <c r="A5" s="31" t="inlineStr">
        <is>
          <t>Unit cost (RMB)</t>
        </is>
      </c>
      <c r="B5" s="63" t="n">
        <v>32</v>
      </c>
    </row>
    <row r="6">
      <c r="A6" s="31" t="inlineStr">
        <is>
          <t>Selling price/item (RMB)</t>
        </is>
      </c>
      <c r="B6" s="63" t="n">
        <v>64</v>
      </c>
    </row>
    <row r="7">
      <c r="A7" s="31" t="inlineStr">
        <is>
          <t>Unit cost (USD)</t>
        </is>
      </c>
      <c r="B7" s="63" t="n">
        <v>4.73</v>
      </c>
    </row>
    <row r="8">
      <c r="A8" s="31" t="inlineStr">
        <is>
          <t>Selling price/item (USD)</t>
        </is>
      </c>
      <c r="B8" s="63" t="n">
        <v>9.460000000000001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8.4400005340576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</v>
      </c>
    </row>
    <row r="3">
      <c r="A3" s="31" t="inlineStr">
        <is>
          <t>Product name</t>
        </is>
      </c>
      <c r="B3" s="34" t="inlineStr">
        <is>
          <t>Children's Lace Dresses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35</v>
      </c>
    </row>
    <row r="6">
      <c r="A6" s="31" t="inlineStr">
        <is>
          <t>Selling price/item (RMB)</t>
        </is>
      </c>
      <c r="B6" s="63" t="n">
        <v>70</v>
      </c>
    </row>
    <row r="7">
      <c r="A7" s="31" t="inlineStr">
        <is>
          <t>Unit cost (USD)</t>
        </is>
      </c>
      <c r="B7" s="63" t="n">
        <v>5.17</v>
      </c>
    </row>
    <row r="8">
      <c r="A8" s="31" t="inlineStr">
        <is>
          <t>Selling price/item (USD)</t>
        </is>
      </c>
      <c r="B8" s="63" t="n">
        <v>10.35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9.34000015258789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5</v>
      </c>
    </row>
    <row r="3">
      <c r="A3" s="31" t="inlineStr">
        <is>
          <t>Product name</t>
        </is>
      </c>
      <c r="B3" s="34" t="inlineStr">
        <is>
          <t>Children's Denim Ankle-Length Pants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23</v>
      </c>
    </row>
    <row r="6">
      <c r="A6" s="31" t="inlineStr">
        <is>
          <t>Selling price/item (RMB)</t>
        </is>
      </c>
      <c r="B6" s="63" t="n">
        <v>46</v>
      </c>
    </row>
    <row r="7">
      <c r="A7" s="31" t="inlineStr">
        <is>
          <t>Unit cost (USD)</t>
        </is>
      </c>
      <c r="B7" s="63" t="n">
        <v>3.4</v>
      </c>
    </row>
    <row r="8">
      <c r="A8" s="31" t="inlineStr">
        <is>
          <t>Selling price/item (USD)</t>
        </is>
      </c>
      <c r="B8" s="63" t="n">
        <v>6.8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7.41999816894531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6</v>
      </c>
    </row>
    <row r="3">
      <c r="A3" s="31" t="inlineStr">
        <is>
          <t>Product name</t>
        </is>
      </c>
      <c r="B3" s="34" t="inlineStr">
        <is>
          <t>Children's Denim Casual Pants (Blue, Gold Rim)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23</v>
      </c>
    </row>
    <row r="6">
      <c r="A6" s="31" t="inlineStr">
        <is>
          <t>Selling price/item (RMB)</t>
        </is>
      </c>
      <c r="B6" s="63" t="n">
        <v>46</v>
      </c>
    </row>
    <row r="7">
      <c r="A7" s="31" t="inlineStr">
        <is>
          <t>Unit cost (USD)</t>
        </is>
      </c>
      <c r="B7" s="63" t="n">
        <v>3.4</v>
      </c>
    </row>
    <row r="8">
      <c r="A8" s="31" t="inlineStr">
        <is>
          <t>Selling price/item (USD)</t>
        </is>
      </c>
      <c r="B8" s="63" t="n">
        <v>6.8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8.90000152587891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7</v>
      </c>
    </row>
    <row r="3">
      <c r="A3" s="31" t="inlineStr">
        <is>
          <t>Product name</t>
        </is>
      </c>
      <c r="B3" s="34" t="inlineStr">
        <is>
          <t>Children's Casual Ankle-Length Pants (Navy Blue)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23</v>
      </c>
    </row>
    <row r="6">
      <c r="A6" s="31" t="inlineStr">
        <is>
          <t>Selling price/item (RMB)</t>
        </is>
      </c>
      <c r="B6" s="63" t="n">
        <v>46</v>
      </c>
    </row>
    <row r="7">
      <c r="A7" s="31" t="inlineStr">
        <is>
          <t>Unit cost (USD)</t>
        </is>
      </c>
      <c r="B7" s="63" t="n">
        <v>3.4</v>
      </c>
    </row>
    <row r="8">
      <c r="A8" s="31" t="inlineStr">
        <is>
          <t>Selling price/item (USD)</t>
        </is>
      </c>
      <c r="B8" s="63" t="n">
        <v>6.8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5.709999084472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8</v>
      </c>
    </row>
    <row r="3">
      <c r="A3" s="31" t="inlineStr">
        <is>
          <t>Product name</t>
        </is>
      </c>
      <c r="B3" s="34" t="inlineStr">
        <is>
          <t>Children's Casual Cargo Trousers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30</v>
      </c>
    </row>
    <row r="6">
      <c r="A6" s="31" t="inlineStr">
        <is>
          <t>Selling price/item (RMB)</t>
        </is>
      </c>
      <c r="B6" s="63" t="n">
        <v>60</v>
      </c>
    </row>
    <row r="7">
      <c r="A7" s="31" t="inlineStr">
        <is>
          <t>Unit cost (USD)</t>
        </is>
      </c>
      <c r="B7" s="63" t="n">
        <v>4.43</v>
      </c>
    </row>
    <row r="8">
      <c r="A8" s="31" t="inlineStr">
        <is>
          <t>Selling price/item (USD)</t>
        </is>
      </c>
      <c r="B8" s="63" t="n">
        <v>8.869999999999999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41.3199996948242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9</v>
      </c>
    </row>
    <row r="3">
      <c r="A3" s="31" t="inlineStr">
        <is>
          <t>Product name</t>
        </is>
      </c>
      <c r="B3" s="34" t="inlineStr">
        <is>
          <t>Children's Long &amp; Short Sleeve Matching Suits (Red)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41</v>
      </c>
    </row>
    <row r="6">
      <c r="A6" s="31" t="inlineStr">
        <is>
          <t>Selling price/item (RMB)</t>
        </is>
      </c>
      <c r="B6" s="63" t="n">
        <v>82</v>
      </c>
    </row>
    <row r="7">
      <c r="A7" s="31" t="inlineStr">
        <is>
          <t>Unit cost (USD)</t>
        </is>
      </c>
      <c r="B7" s="63" t="n">
        <v>6.06</v>
      </c>
    </row>
    <row r="8">
      <c r="A8" s="31" t="inlineStr">
        <is>
          <t>Selling price/item (USD)</t>
        </is>
      </c>
      <c r="B8" s="63" t="n">
        <v>12.12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42.259998321533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10</v>
      </c>
    </row>
    <row r="3">
      <c r="A3" s="31" t="inlineStr">
        <is>
          <t>Product name</t>
        </is>
      </c>
      <c r="B3" s="34" t="inlineStr">
        <is>
          <t>Children's 2-Piece T-Shirt &amp; Shorts Suits (Light Green)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35</v>
      </c>
    </row>
    <row r="6">
      <c r="A6" s="31" t="inlineStr">
        <is>
          <t>Selling price/item (RMB)</t>
        </is>
      </c>
      <c r="B6" s="63" t="n">
        <v>70</v>
      </c>
    </row>
    <row r="7">
      <c r="A7" s="31" t="inlineStr">
        <is>
          <t>Unit cost (USD)</t>
        </is>
      </c>
      <c r="B7" s="63" t="n">
        <v>5.17</v>
      </c>
    </row>
    <row r="8">
      <c r="A8" s="31" t="inlineStr">
        <is>
          <t>Selling price/item (USD)</t>
        </is>
      </c>
      <c r="B8" s="63" t="n">
        <v>10.35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9.1100006103515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11</v>
      </c>
    </row>
    <row r="3">
      <c r="A3" s="31" t="inlineStr">
        <is>
          <t>Product name</t>
        </is>
      </c>
      <c r="B3" s="34" t="inlineStr">
        <is>
          <t>Ladies' Woven Sweaters</t>
        </is>
      </c>
    </row>
    <row r="4">
      <c r="A4" s="31" t="inlineStr">
        <is>
          <t>Initial stock quantity</t>
        </is>
      </c>
      <c r="B4" s="34" t="n">
        <v>50</v>
      </c>
    </row>
    <row r="5">
      <c r="A5" s="31" t="inlineStr">
        <is>
          <t>Unit cost (RMB)</t>
        </is>
      </c>
      <c r="B5" s="63" t="n">
        <v>30</v>
      </c>
    </row>
    <row r="6">
      <c r="A6" s="31" t="inlineStr">
        <is>
          <t>Selling price/item (RMB)</t>
        </is>
      </c>
      <c r="B6" s="63" t="n">
        <v>60</v>
      </c>
    </row>
    <row r="7">
      <c r="A7" s="31" t="inlineStr">
        <is>
          <t>Unit cost (USD)</t>
        </is>
      </c>
      <c r="B7" s="63" t="n">
        <v>4.43</v>
      </c>
    </row>
    <row r="8">
      <c r="A8" s="31" t="inlineStr">
        <is>
          <t>Selling price/item (USD)</t>
        </is>
      </c>
      <c r="B8" s="63" t="n">
        <v>8.869999999999999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7.62999916076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12</v>
      </c>
    </row>
    <row r="3">
      <c r="A3" s="31" t="inlineStr">
        <is>
          <t>Product name</t>
        </is>
      </c>
      <c r="B3" s="34" t="inlineStr">
        <is>
          <t>Ladies' Denim Dresses</t>
        </is>
      </c>
    </row>
    <row r="4">
      <c r="A4" s="31" t="inlineStr">
        <is>
          <t>Initial stock quantity</t>
        </is>
      </c>
      <c r="B4" s="34" t="n">
        <v>20</v>
      </c>
    </row>
    <row r="5">
      <c r="A5" s="31" t="inlineStr">
        <is>
          <t>Unit cost (RMB)</t>
        </is>
      </c>
      <c r="B5" s="63" t="n">
        <v>42</v>
      </c>
    </row>
    <row r="6">
      <c r="A6" s="31" t="inlineStr">
        <is>
          <t>Selling price/item (RMB)</t>
        </is>
      </c>
      <c r="B6" s="63" t="n">
        <v>84</v>
      </c>
    </row>
    <row r="7">
      <c r="A7" s="31" t="inlineStr">
        <is>
          <t>Unit cost (USD)</t>
        </is>
      </c>
      <c r="B7" s="63" t="n">
        <v>6.21</v>
      </c>
    </row>
    <row r="8">
      <c r="A8" s="31" t="inlineStr">
        <is>
          <t>Selling price/item (USD)</t>
        </is>
      </c>
      <c r="B8" s="63" t="n">
        <v>12.42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9.47999954223633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13</v>
      </c>
    </row>
    <row r="3">
      <c r="A3" s="31" t="inlineStr">
        <is>
          <t>Product name</t>
        </is>
      </c>
      <c r="B3" s="34" t="inlineStr">
        <is>
          <t>Men's Woven Sweaters (Style 19309)</t>
        </is>
      </c>
    </row>
    <row r="4">
      <c r="A4" s="31" t="inlineStr">
        <is>
          <t>Initial stock quantity</t>
        </is>
      </c>
      <c r="B4" s="34" t="n">
        <v>12</v>
      </c>
    </row>
    <row r="5">
      <c r="A5" s="31" t="inlineStr">
        <is>
          <t>Unit cost (RMB)</t>
        </is>
      </c>
      <c r="B5" s="63" t="n">
        <v>35</v>
      </c>
    </row>
    <row r="6">
      <c r="A6" s="31" t="inlineStr">
        <is>
          <t>Selling price/item (RMB)</t>
        </is>
      </c>
      <c r="B6" s="63" t="n">
        <v>70</v>
      </c>
    </row>
    <row r="7">
      <c r="A7" s="31" t="inlineStr">
        <is>
          <t>Unit cost (USD)</t>
        </is>
      </c>
      <c r="B7" s="63" t="n">
        <v>5.17</v>
      </c>
    </row>
    <row r="8">
      <c r="A8" s="31" t="inlineStr">
        <is>
          <t>Selling price/item (USD)</t>
        </is>
      </c>
      <c r="B8" s="63" t="n">
        <v>10.35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8.53000068664551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14</v>
      </c>
    </row>
    <row r="3">
      <c r="A3" s="31" t="inlineStr">
        <is>
          <t>Product name</t>
        </is>
      </c>
      <c r="B3" s="34" t="inlineStr">
        <is>
          <t>Men's Woven Sweaters (Style 8102)</t>
        </is>
      </c>
    </row>
    <row r="4">
      <c r="A4" s="31" t="inlineStr">
        <is>
          <t>Initial stock quantity</t>
        </is>
      </c>
      <c r="B4" s="34" t="n">
        <v>12</v>
      </c>
    </row>
    <row r="5">
      <c r="A5" s="31" t="inlineStr">
        <is>
          <t>Unit cost (RMB)</t>
        </is>
      </c>
      <c r="B5" s="63" t="n">
        <v>30</v>
      </c>
    </row>
    <row r="6">
      <c r="A6" s="31" t="inlineStr">
        <is>
          <t>Selling price/item (RMB)</t>
        </is>
      </c>
      <c r="B6" s="63" t="n">
        <v>60</v>
      </c>
    </row>
    <row r="7">
      <c r="A7" s="31" t="inlineStr">
        <is>
          <t>Unit cost (USD)</t>
        </is>
      </c>
      <c r="B7" s="63" t="n">
        <v>4.43</v>
      </c>
    </row>
    <row r="8">
      <c r="A8" s="31" t="inlineStr">
        <is>
          <t>Selling price/item (USD)</t>
        </is>
      </c>
      <c r="B8" s="63" t="n">
        <v>8.869999999999999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8.6700000762939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15</v>
      </c>
    </row>
    <row r="3">
      <c r="A3" s="31" t="inlineStr">
        <is>
          <t>Product name</t>
        </is>
      </c>
      <c r="B3" s="34" t="inlineStr">
        <is>
          <t>Commercial Stationery Writing Pens</t>
        </is>
      </c>
    </row>
    <row r="4">
      <c r="A4" s="31" t="inlineStr">
        <is>
          <t>Initial stock quantity</t>
        </is>
      </c>
      <c r="B4" s="34" t="n">
        <v>88</v>
      </c>
    </row>
    <row r="5">
      <c r="A5" s="31" t="inlineStr">
        <is>
          <t>Unit cost (RMB)</t>
        </is>
      </c>
      <c r="B5" s="63" t="n">
        <v>3.5</v>
      </c>
    </row>
    <row r="6">
      <c r="A6" s="31" t="inlineStr">
        <is>
          <t>Selling price/item (RMB)</t>
        </is>
      </c>
      <c r="B6" s="63" t="n">
        <v>7</v>
      </c>
    </row>
    <row r="7">
      <c r="A7" s="31" t="inlineStr">
        <is>
          <t>Unit cost (USD)</t>
        </is>
      </c>
      <c r="B7" s="63" t="n">
        <v>0.52</v>
      </c>
    </row>
    <row r="8">
      <c r="A8" s="31" t="inlineStr">
        <is>
          <t>Selling price/item (USD)</t>
        </is>
      </c>
      <c r="B8" s="63" t="n">
        <v>1.03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8.5699996948242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16</v>
      </c>
    </row>
    <row r="3">
      <c r="A3" s="31" t="inlineStr">
        <is>
          <t>Product name</t>
        </is>
      </c>
      <c r="B3" s="34" t="inlineStr">
        <is>
          <t>Ladies' Fashion Dresses</t>
        </is>
      </c>
    </row>
    <row r="4">
      <c r="A4" s="31" t="inlineStr">
        <is>
          <t>Initial stock quantity</t>
        </is>
      </c>
      <c r="B4" s="34" t="n">
        <v>83</v>
      </c>
    </row>
    <row r="5">
      <c r="A5" s="31" t="inlineStr">
        <is>
          <t>Unit cost (RMB)</t>
        </is>
      </c>
      <c r="B5" s="63" t="n">
        <v>11.51</v>
      </c>
    </row>
    <row r="6">
      <c r="A6" s="31" t="inlineStr">
        <is>
          <t>Selling price/item (RMB)</t>
        </is>
      </c>
      <c r="B6" s="63" t="n">
        <v>23.02</v>
      </c>
    </row>
    <row r="7">
      <c r="A7" s="31" t="inlineStr">
        <is>
          <t>Unit cost (USD)</t>
        </is>
      </c>
      <c r="B7" s="63" t="n">
        <v>1.7</v>
      </c>
    </row>
    <row r="8">
      <c r="A8" s="31" t="inlineStr">
        <is>
          <t>Selling price/item (USD)</t>
        </is>
      </c>
      <c r="B8" s="63" t="n">
        <v>3.4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6.29000091552734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17</v>
      </c>
    </row>
    <row r="3">
      <c r="A3" s="31" t="inlineStr">
        <is>
          <t>Product name</t>
        </is>
      </c>
      <c r="B3" s="34" t="inlineStr">
        <is>
          <t>Ladies' Long Dresses</t>
        </is>
      </c>
    </row>
    <row r="4">
      <c r="A4" s="31" t="inlineStr">
        <is>
          <t>Initial stock quantity</t>
        </is>
      </c>
      <c r="B4" s="34" t="n">
        <v>24</v>
      </c>
    </row>
    <row r="5">
      <c r="A5" s="31" t="inlineStr">
        <is>
          <t>Unit cost (RMB)</t>
        </is>
      </c>
      <c r="B5" s="63" t="n">
        <v>25</v>
      </c>
    </row>
    <row r="6">
      <c r="A6" s="31" t="inlineStr">
        <is>
          <t>Selling price/item (RMB)</t>
        </is>
      </c>
      <c r="B6" s="63" t="n">
        <v>50</v>
      </c>
    </row>
    <row r="7">
      <c r="A7" s="31" t="inlineStr">
        <is>
          <t>Unit cost (USD)</t>
        </is>
      </c>
      <c r="B7" s="63" t="n">
        <v>3.69</v>
      </c>
    </row>
    <row r="8">
      <c r="A8" s="31" t="inlineStr">
        <is>
          <t>Selling price/item (USD)</t>
        </is>
      </c>
      <c r="B8" s="63" t="n">
        <v>7.39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6.6900005340576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18</v>
      </c>
    </row>
    <row r="3">
      <c r="A3" s="31" t="inlineStr">
        <is>
          <t>Product name</t>
        </is>
      </c>
      <c r="B3" s="34" t="inlineStr">
        <is>
          <t>Ladies' Black Dresses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2.87999916076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19</v>
      </c>
    </row>
    <row r="3">
      <c r="A3" s="31" t="inlineStr">
        <is>
          <t>Product name</t>
        </is>
      </c>
      <c r="B3" s="34" t="inlineStr">
        <is>
          <t>Ladies' 2-Piece Suits (Brown)</t>
        </is>
      </c>
    </row>
    <row r="4">
      <c r="A4" s="31" t="inlineStr">
        <is>
          <t>Initial stock quantity</t>
        </is>
      </c>
      <c r="B4" s="34" t="n">
        <v>1</v>
      </c>
    </row>
    <row r="5">
      <c r="A5" s="31" t="inlineStr">
        <is>
          <t>Unit cost (RMB)</t>
        </is>
      </c>
      <c r="B5" s="63" t="n">
        <v>40</v>
      </c>
    </row>
    <row r="6">
      <c r="A6" s="31" t="inlineStr">
        <is>
          <t>Selling price/item (RMB)</t>
        </is>
      </c>
      <c r="B6" s="63" t="n">
        <v>80</v>
      </c>
    </row>
    <row r="7">
      <c r="A7" s="31" t="inlineStr">
        <is>
          <t>Unit cost (USD)</t>
        </is>
      </c>
      <c r="B7" s="63" t="n">
        <v>5.91</v>
      </c>
    </row>
    <row r="8">
      <c r="A8" s="31" t="inlineStr">
        <is>
          <t>Selling price/item (USD)</t>
        </is>
      </c>
      <c r="B8" s="63" t="n">
        <v>11.82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0.1900005340576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20</v>
      </c>
    </row>
    <row r="3">
      <c r="A3" s="31" t="inlineStr">
        <is>
          <t>Product name</t>
        </is>
      </c>
      <c r="B3" s="34" t="inlineStr">
        <is>
          <t>Fashion Jackets (Maroon)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7.3600006103515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21</v>
      </c>
    </row>
    <row r="3">
      <c r="A3" s="31" t="inlineStr">
        <is>
          <t>Product name</t>
        </is>
      </c>
      <c r="B3" s="34" t="inlineStr">
        <is>
          <t>Fashion Jackets (Blue)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5.1700000762939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22</v>
      </c>
    </row>
    <row r="3">
      <c r="A3" s="31" t="inlineStr">
        <is>
          <t>Product name</t>
        </is>
      </c>
      <c r="B3" s="34" t="inlineStr">
        <is>
          <t>Ladies' Knitted Scarves (Style A)</t>
        </is>
      </c>
    </row>
    <row r="4">
      <c r="A4" s="31" t="inlineStr">
        <is>
          <t>Initial stock quantity</t>
        </is>
      </c>
      <c r="B4" s="34" t="n">
        <v>20</v>
      </c>
    </row>
    <row r="5">
      <c r="A5" s="31" t="inlineStr">
        <is>
          <t>Unit cost (RMB)</t>
        </is>
      </c>
      <c r="B5" s="63" t="n">
        <v>17</v>
      </c>
    </row>
    <row r="6">
      <c r="A6" s="31" t="inlineStr">
        <is>
          <t>Selling price/item (RMB)</t>
        </is>
      </c>
      <c r="B6" s="63" t="n">
        <v>34</v>
      </c>
    </row>
    <row r="7">
      <c r="A7" s="31" t="inlineStr">
        <is>
          <t>Unit cost (USD)</t>
        </is>
      </c>
      <c r="B7" s="63" t="n">
        <v>2.51</v>
      </c>
    </row>
    <row r="8">
      <c r="A8" s="31" t="inlineStr">
        <is>
          <t>Selling price/item (USD)</t>
        </is>
      </c>
      <c r="B8" s="63" t="n">
        <v>5.03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5.709999084472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23</v>
      </c>
    </row>
    <row r="3">
      <c r="A3" s="31" t="inlineStr">
        <is>
          <t>Product name</t>
        </is>
      </c>
      <c r="B3" s="34" t="inlineStr">
        <is>
          <t>Ladies' Woven Ponchos / Shawls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38</v>
      </c>
    </row>
    <row r="6">
      <c r="A6" s="31" t="inlineStr">
        <is>
          <t>Selling price/item (RMB)</t>
        </is>
      </c>
      <c r="B6" s="63" t="n">
        <v>76</v>
      </c>
    </row>
    <row r="7">
      <c r="A7" s="31" t="inlineStr">
        <is>
          <t>Unit cost (USD)</t>
        </is>
      </c>
      <c r="B7" s="63" t="n">
        <v>5.62</v>
      </c>
    </row>
    <row r="8">
      <c r="A8" s="31" t="inlineStr">
        <is>
          <t>Selling price/item (USD)</t>
        </is>
      </c>
      <c r="B8" s="63" t="n">
        <v>11.23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1.12999916076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24</v>
      </c>
    </row>
    <row r="3">
      <c r="A3" s="31" t="inlineStr">
        <is>
          <t>Product name</t>
        </is>
      </c>
      <c r="B3" s="34" t="inlineStr">
        <is>
          <t>Ladies' Textile Head Wraps</t>
        </is>
      </c>
    </row>
    <row r="4">
      <c r="A4" s="31" t="inlineStr">
        <is>
          <t>Initial stock quantity</t>
        </is>
      </c>
      <c r="B4" s="34" t="n">
        <v>22</v>
      </c>
    </row>
    <row r="5">
      <c r="A5" s="31" t="inlineStr">
        <is>
          <t>Unit cost (RMB)</t>
        </is>
      </c>
      <c r="B5" s="63" t="n">
        <v>5</v>
      </c>
    </row>
    <row r="6">
      <c r="A6" s="31" t="inlineStr">
        <is>
          <t>Selling price/item (RMB)</t>
        </is>
      </c>
      <c r="B6" s="63" t="n">
        <v>10</v>
      </c>
    </row>
    <row r="7">
      <c r="A7" s="31" t="inlineStr">
        <is>
          <t>Unit cost (USD)</t>
        </is>
      </c>
      <c r="B7" s="63" t="n">
        <v>0.74</v>
      </c>
    </row>
    <row r="8">
      <c r="A8" s="31" t="inlineStr">
        <is>
          <t>Selling price/item (USD)</t>
        </is>
      </c>
      <c r="B8" s="63" t="n">
        <v>1.48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7.59000015258789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25</v>
      </c>
    </row>
    <row r="3">
      <c r="A3" s="31" t="inlineStr">
        <is>
          <t>Product name</t>
        </is>
      </c>
      <c r="B3" s="34" t="inlineStr">
        <is>
          <t>Ladies' Sleeveless Ponchos / Capes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26</v>
      </c>
    </row>
    <row r="6">
      <c r="A6" s="31" t="inlineStr">
        <is>
          <t>Selling price/item (RMB)</t>
        </is>
      </c>
      <c r="B6" s="63" t="n">
        <v>52</v>
      </c>
    </row>
    <row r="7">
      <c r="A7" s="31" t="inlineStr">
        <is>
          <t>Unit cost (USD)</t>
        </is>
      </c>
      <c r="B7" s="63" t="n">
        <v>3.84</v>
      </c>
    </row>
    <row r="8">
      <c r="A8" s="31" t="inlineStr">
        <is>
          <t>Selling price/item (USD)</t>
        </is>
      </c>
      <c r="B8" s="63" t="n">
        <v>7.69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8.6700000762939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26</v>
      </c>
    </row>
    <row r="3">
      <c r="A3" s="31" t="inlineStr">
        <is>
          <t>Product name</t>
        </is>
      </c>
      <c r="B3" s="34" t="inlineStr">
        <is>
          <t>Ladies' Lightweight Scarves (Style B)</t>
        </is>
      </c>
    </row>
    <row r="4">
      <c r="A4" s="31" t="inlineStr">
        <is>
          <t>Initial stock quantity</t>
        </is>
      </c>
      <c r="B4" s="34" t="n">
        <v>20</v>
      </c>
    </row>
    <row r="5">
      <c r="A5" s="31" t="inlineStr">
        <is>
          <t>Unit cost (RMB)</t>
        </is>
      </c>
      <c r="B5" s="63" t="n">
        <v>10</v>
      </c>
    </row>
    <row r="6">
      <c r="A6" s="31" t="inlineStr">
        <is>
          <t>Selling price/item (RMB)</t>
        </is>
      </c>
      <c r="B6" s="63" t="n">
        <v>20</v>
      </c>
    </row>
    <row r="7">
      <c r="A7" s="31" t="inlineStr">
        <is>
          <t>Unit cost (USD)</t>
        </is>
      </c>
      <c r="B7" s="63" t="n">
        <v>1.48</v>
      </c>
    </row>
    <row r="8">
      <c r="A8" s="31" t="inlineStr">
        <is>
          <t>Selling price/item (USD)</t>
        </is>
      </c>
      <c r="B8" s="63" t="n">
        <v>2.96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1.4899997711181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27</v>
      </c>
    </row>
    <row r="3">
      <c r="A3" s="31" t="inlineStr">
        <is>
          <t>Product name</t>
        </is>
      </c>
      <c r="B3" s="34" t="inlineStr">
        <is>
          <t>Ladies' Fashion Dresses (Green &amp; Black)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7.62999916076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28</v>
      </c>
    </row>
    <row r="3">
      <c r="A3" s="31" t="inlineStr">
        <is>
          <t>Product name</t>
        </is>
      </c>
      <c r="B3" s="34" t="inlineStr">
        <is>
          <t>Ladies' Denim Dresses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9.64999961853027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29</v>
      </c>
    </row>
    <row r="3">
      <c r="A3" s="31" t="inlineStr">
        <is>
          <t>Product name</t>
        </is>
      </c>
      <c r="B3" s="34" t="inlineStr">
        <is>
          <t>Ladies' Small Pouch Bags</t>
        </is>
      </c>
    </row>
    <row r="4">
      <c r="A4" s="31" t="inlineStr">
        <is>
          <t>Initial stock quantity</t>
        </is>
      </c>
      <c r="B4" s="34" t="n">
        <v>8</v>
      </c>
    </row>
    <row r="5">
      <c r="A5" s="31" t="inlineStr">
        <is>
          <t>Unit cost (RMB)</t>
        </is>
      </c>
      <c r="B5" s="63" t="n">
        <v>25</v>
      </c>
    </row>
    <row r="6">
      <c r="A6" s="31" t="inlineStr">
        <is>
          <t>Selling price/item (RMB)</t>
        </is>
      </c>
      <c r="B6" s="63" t="n">
        <v>50</v>
      </c>
    </row>
    <row r="7">
      <c r="A7" s="31" t="inlineStr">
        <is>
          <t>Unit cost (USD)</t>
        </is>
      </c>
      <c r="B7" s="63" t="n">
        <v>3.69</v>
      </c>
    </row>
    <row r="8">
      <c r="A8" s="31" t="inlineStr">
        <is>
          <t>Selling price/item (USD)</t>
        </is>
      </c>
      <c r="B8" s="63" t="n">
        <v>7.39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3.28000068664551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30</v>
      </c>
    </row>
    <row r="3">
      <c r="A3" s="31" t="inlineStr">
        <is>
          <t>Product name</t>
        </is>
      </c>
      <c r="B3" s="34" t="inlineStr">
        <is>
          <t>Casual Sports Shoes / Takkies</t>
        </is>
      </c>
    </row>
    <row r="4">
      <c r="A4" s="31" t="inlineStr">
        <is>
          <t>Initial stock quantity</t>
        </is>
      </c>
      <c r="B4" s="34" t="n">
        <v>11</v>
      </c>
    </row>
    <row r="5">
      <c r="A5" s="31" t="inlineStr">
        <is>
          <t>Unit cost (RMB)</t>
        </is>
      </c>
      <c r="B5" s="63" t="n">
        <v>55</v>
      </c>
    </row>
    <row r="6">
      <c r="A6" s="31" t="inlineStr">
        <is>
          <t>Selling price/item (RMB)</t>
        </is>
      </c>
      <c r="B6" s="63" t="n">
        <v>110</v>
      </c>
    </row>
    <row r="7">
      <c r="A7" s="31" t="inlineStr">
        <is>
          <t>Unit cost (USD)</t>
        </is>
      </c>
      <c r="B7" s="63" t="n">
        <v>8.130000000000001</v>
      </c>
    </row>
    <row r="8">
      <c r="A8" s="31" t="inlineStr">
        <is>
          <t>Selling price/item (USD)</t>
        </is>
      </c>
      <c r="B8" s="63" t="n">
        <v>16.26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3.1100006103515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31</v>
      </c>
    </row>
    <row r="3">
      <c r="A3" s="31" t="inlineStr">
        <is>
          <t>Product name</t>
        </is>
      </c>
      <c r="B3" s="34" t="inlineStr">
        <is>
          <t>Smart Audio Eyewear (Bluetooth Glasses)</t>
        </is>
      </c>
    </row>
    <row r="4">
      <c r="A4" s="31" t="inlineStr">
        <is>
          <t>Initial stock quantity</t>
        </is>
      </c>
      <c r="B4" s="34" t="n">
        <v>27</v>
      </c>
    </row>
    <row r="5">
      <c r="A5" s="31" t="inlineStr">
        <is>
          <t>Unit cost (RMB)</t>
        </is>
      </c>
      <c r="B5" s="63" t="n">
        <v>50</v>
      </c>
    </row>
    <row r="6">
      <c r="A6" s="31" t="inlineStr">
        <is>
          <t>Selling price/item (RMB)</t>
        </is>
      </c>
      <c r="B6" s="63" t="n">
        <v>100</v>
      </c>
    </row>
    <row r="7">
      <c r="A7" s="31" t="inlineStr">
        <is>
          <t>Unit cost (USD)</t>
        </is>
      </c>
      <c r="B7" s="63" t="n">
        <v>7.39</v>
      </c>
    </row>
    <row r="8">
      <c r="A8" s="31" t="inlineStr">
        <is>
          <t>Selling price/item (USD)</t>
        </is>
      </c>
      <c r="B8" s="63" t="n">
        <v>14.78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45.4900016784668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32</v>
      </c>
    </row>
    <row r="3">
      <c r="A3" s="31" t="inlineStr">
        <is>
          <t>Product name</t>
        </is>
      </c>
      <c r="B3" s="34" t="inlineStr">
        <is>
          <t>Dual-Function USB Wall Power Adapters (Phone Charger)</t>
        </is>
      </c>
    </row>
    <row r="4">
      <c r="A4" s="31" t="inlineStr">
        <is>
          <t>Initial stock quantity</t>
        </is>
      </c>
      <c r="B4" s="34" t="n">
        <v>100</v>
      </c>
    </row>
    <row r="5">
      <c r="A5" s="31" t="inlineStr">
        <is>
          <t>Unit cost (RMB)</t>
        </is>
      </c>
      <c r="B5" s="63" t="n">
        <v>6</v>
      </c>
    </row>
    <row r="6">
      <c r="A6" s="31" t="inlineStr">
        <is>
          <t>Selling price/item (RMB)</t>
        </is>
      </c>
      <c r="B6" s="63" t="n">
        <v>12</v>
      </c>
    </row>
    <row r="7">
      <c r="A7" s="31" t="inlineStr">
        <is>
          <t>Unit cost (USD)</t>
        </is>
      </c>
      <c r="B7" s="63" t="n">
        <v>0.89</v>
      </c>
    </row>
    <row r="8">
      <c r="A8" s="31" t="inlineStr">
        <is>
          <t>Selling price/item (USD)</t>
        </is>
      </c>
      <c r="B8" s="63" t="n">
        <v>1.77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5.2999992370605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33</v>
      </c>
    </row>
    <row r="3">
      <c r="A3" s="31" t="inlineStr">
        <is>
          <t>Product name</t>
        </is>
      </c>
      <c r="B3" s="34" t="inlineStr">
        <is>
          <t>Ladies' Fashion T-Shirts (Type A)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52</v>
      </c>
    </row>
    <row r="6">
      <c r="A6" s="31" t="inlineStr">
        <is>
          <t>Selling price/item (RMB)</t>
        </is>
      </c>
      <c r="B6" s="63" t="n">
        <v>104</v>
      </c>
    </row>
    <row r="7">
      <c r="A7" s="31" t="inlineStr">
        <is>
          <t>Unit cost (USD)</t>
        </is>
      </c>
      <c r="B7" s="63" t="n">
        <v>7.69</v>
      </c>
    </row>
    <row r="8">
      <c r="A8" s="31" t="inlineStr">
        <is>
          <t>Selling price/item (USD)</t>
        </is>
      </c>
      <c r="B8" s="63" t="n">
        <v>15.37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5.2999992370605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34</v>
      </c>
    </row>
    <row r="3">
      <c r="A3" s="31" t="inlineStr">
        <is>
          <t>Product name</t>
        </is>
      </c>
      <c r="B3" s="34" t="inlineStr">
        <is>
          <t>Ladies' Fashion T-Shirts (Type B)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46</v>
      </c>
    </row>
    <row r="6">
      <c r="A6" s="31" t="inlineStr">
        <is>
          <t>Selling price/item (RMB)</t>
        </is>
      </c>
      <c r="B6" s="63" t="n">
        <v>92</v>
      </c>
    </row>
    <row r="7">
      <c r="A7" s="31" t="inlineStr">
        <is>
          <t>Unit cost (USD)</t>
        </is>
      </c>
      <c r="B7" s="63" t="n">
        <v>6.8</v>
      </c>
    </row>
    <row r="8">
      <c r="A8" s="31" t="inlineStr">
        <is>
          <t>Selling price/item (USD)</t>
        </is>
      </c>
      <c r="B8" s="63" t="n">
        <v>13.6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0.6900005340576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35</v>
      </c>
    </row>
    <row r="3">
      <c r="A3" s="31" t="inlineStr">
        <is>
          <t>Product name</t>
        </is>
      </c>
      <c r="B3" s="34" t="inlineStr">
        <is>
          <t>Ladies' Fashion Cargo Dresses (Style A)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110</v>
      </c>
    </row>
    <row r="6">
      <c r="A6" s="31" t="inlineStr">
        <is>
          <t>Selling price/item (RMB)</t>
        </is>
      </c>
      <c r="B6" s="63" t="n">
        <v>220</v>
      </c>
    </row>
    <row r="7">
      <c r="A7" s="31" t="inlineStr">
        <is>
          <t>Unit cost (USD)</t>
        </is>
      </c>
      <c r="B7" s="63" t="n">
        <v>16.26</v>
      </c>
    </row>
    <row r="8">
      <c r="A8" s="31" t="inlineStr">
        <is>
          <t>Selling price/item (USD)</t>
        </is>
      </c>
      <c r="B8" s="63" t="n">
        <v>32.52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0.6900005340576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36</v>
      </c>
    </row>
    <row r="3">
      <c r="A3" s="31" t="inlineStr">
        <is>
          <t>Product name</t>
        </is>
      </c>
      <c r="B3" s="34" t="inlineStr">
        <is>
          <t>Ladies' Fashion Cargo Dresses (Style B)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120</v>
      </c>
    </row>
    <row r="6">
      <c r="A6" s="31" t="inlineStr">
        <is>
          <t>Selling price/item (RMB)</t>
        </is>
      </c>
      <c r="B6" s="63" t="n">
        <v>240</v>
      </c>
    </row>
    <row r="7">
      <c r="A7" s="31" t="inlineStr">
        <is>
          <t>Unit cost (USD)</t>
        </is>
      </c>
      <c r="B7" s="63" t="n">
        <v>17.74</v>
      </c>
    </row>
    <row r="8">
      <c r="A8" s="31" t="inlineStr">
        <is>
          <t>Selling price/item (USD)</t>
        </is>
      </c>
      <c r="B8" s="63" t="n">
        <v>35.47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3.72999954223633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37</v>
      </c>
    </row>
    <row r="3">
      <c r="A3" s="31" t="inlineStr">
        <is>
          <t>Product name</t>
        </is>
      </c>
      <c r="B3" s="34" t="inlineStr">
        <is>
          <t>Knitted Sweaters</t>
        </is>
      </c>
    </row>
    <row r="4">
      <c r="A4" s="31" t="inlineStr">
        <is>
          <t>Initial stock quantity</t>
        </is>
      </c>
      <c r="B4" s="34" t="n">
        <v>81</v>
      </c>
    </row>
    <row r="5">
      <c r="A5" s="31" t="inlineStr">
        <is>
          <t>Unit cost (RMB)</t>
        </is>
      </c>
      <c r="B5" s="63" t="n">
        <v>37</v>
      </c>
    </row>
    <row r="6">
      <c r="A6" s="31" t="inlineStr">
        <is>
          <t>Selling price/item (RMB)</t>
        </is>
      </c>
      <c r="B6" s="63" t="n">
        <v>74</v>
      </c>
    </row>
    <row r="7">
      <c r="A7" s="31" t="inlineStr">
        <is>
          <t>Unit cost (USD)</t>
        </is>
      </c>
      <c r="B7" s="63" t="n">
        <v>5.47</v>
      </c>
    </row>
    <row r="8">
      <c r="A8" s="31" t="inlineStr">
        <is>
          <t>Selling price/item (USD)</t>
        </is>
      </c>
      <c r="B8" s="63" t="n">
        <v>10.94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7.77000045776367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38</v>
      </c>
    </row>
    <row r="3">
      <c r="A3" s="31" t="inlineStr">
        <is>
          <t>Product name</t>
        </is>
      </c>
      <c r="B3" s="34" t="inlineStr">
        <is>
          <t>Men's Fashion T-Shirts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16.8199996948242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39</v>
      </c>
    </row>
    <row r="3">
      <c r="A3" s="31" t="inlineStr">
        <is>
          <t>Product name</t>
        </is>
      </c>
      <c r="B3" s="34" t="inlineStr">
        <is>
          <t>Ladies' Fashion Skirts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38</v>
      </c>
    </row>
    <row r="6">
      <c r="A6" s="31" t="inlineStr">
        <is>
          <t>Selling price/item (RMB)</t>
        </is>
      </c>
      <c r="B6" s="63" t="n">
        <v>76</v>
      </c>
    </row>
    <row r="7">
      <c r="A7" s="31" t="inlineStr">
        <is>
          <t>Unit cost (USD)</t>
        </is>
      </c>
      <c r="B7" s="63" t="n">
        <v>5.62</v>
      </c>
    </row>
    <row r="8">
      <c r="A8" s="31" t="inlineStr">
        <is>
          <t>Selling price/item (USD)</t>
        </is>
      </c>
      <c r="B8" s="63" t="n">
        <v>11.23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2.6100006103515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40</v>
      </c>
    </row>
    <row r="3">
      <c r="A3" s="31" t="inlineStr">
        <is>
          <t>Product name</t>
        </is>
      </c>
      <c r="B3" s="34" t="inlineStr">
        <is>
          <t>High-Speed USB Data Cables</t>
        </is>
      </c>
    </row>
    <row r="4">
      <c r="A4" s="31" t="inlineStr">
        <is>
          <t>Initial stock quantity</t>
        </is>
      </c>
      <c r="B4" s="34" t="n">
        <v>100</v>
      </c>
    </row>
    <row r="5">
      <c r="A5" s="31" t="inlineStr">
        <is>
          <t>Unit cost (RMB)</t>
        </is>
      </c>
      <c r="B5" s="63" t="n">
        <v>1.5</v>
      </c>
    </row>
    <row r="6">
      <c r="A6" s="31" t="inlineStr">
        <is>
          <t>Selling price/item (RMB)</t>
        </is>
      </c>
      <c r="B6" s="63" t="n">
        <v>3</v>
      </c>
    </row>
    <row r="7">
      <c r="A7" s="31" t="inlineStr">
        <is>
          <t>Unit cost (USD)</t>
        </is>
      </c>
      <c r="B7" s="63" t="n">
        <v>0.22</v>
      </c>
    </row>
    <row r="8">
      <c r="A8" s="31" t="inlineStr">
        <is>
          <t>Selling price/item (USD)</t>
        </is>
      </c>
      <c r="B8" s="63" t="n">
        <v>0.44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4.4500007629394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41</v>
      </c>
    </row>
    <row r="3">
      <c r="A3" s="31" t="inlineStr">
        <is>
          <t>Product name</t>
        </is>
      </c>
      <c r="B3" s="34" t="inlineStr">
        <is>
          <t>Children's Fashion Dresses (Yellow/Orange)</t>
        </is>
      </c>
    </row>
    <row r="4">
      <c r="A4" s="31" t="inlineStr">
        <is>
          <t>Initial stock quantity</t>
        </is>
      </c>
      <c r="B4" s="34" t="n">
        <v>4</v>
      </c>
    </row>
    <row r="5">
      <c r="A5" s="31" t="inlineStr">
        <is>
          <t>Unit cost (RMB)</t>
        </is>
      </c>
      <c r="B5" s="63" t="n">
        <v>29</v>
      </c>
    </row>
    <row r="6">
      <c r="A6" s="31" t="inlineStr">
        <is>
          <t>Selling price/item (RMB)</t>
        </is>
      </c>
      <c r="B6" s="63" t="n">
        <v>58</v>
      </c>
    </row>
    <row r="7">
      <c r="A7" s="31" t="inlineStr">
        <is>
          <t>Unit cost (USD)</t>
        </is>
      </c>
      <c r="B7" s="63" t="n">
        <v>4.29</v>
      </c>
    </row>
    <row r="8">
      <c r="A8" s="31" t="inlineStr">
        <is>
          <t>Selling price/item (USD)</t>
        </is>
      </c>
      <c r="B8" s="63" t="n">
        <v>8.57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4.09000015258789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42</v>
      </c>
    </row>
    <row r="3">
      <c r="A3" s="31" t="inlineStr">
        <is>
          <t>Product name</t>
        </is>
      </c>
      <c r="B3" s="34" t="inlineStr">
        <is>
          <t>Ladies' Straight Dresses (Long)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28</v>
      </c>
    </row>
    <row r="6">
      <c r="A6" s="31" t="inlineStr">
        <is>
          <t>Selling price/item (RMB)</t>
        </is>
      </c>
      <c r="B6" s="63" t="n">
        <v>56</v>
      </c>
    </row>
    <row r="7">
      <c r="A7" s="31" t="inlineStr">
        <is>
          <t>Unit cost (USD)</t>
        </is>
      </c>
      <c r="B7" s="63" t="n">
        <v>4.14</v>
      </c>
    </row>
    <row r="8">
      <c r="A8" s="31" t="inlineStr">
        <is>
          <t>Selling price/item (USD)</t>
        </is>
      </c>
      <c r="B8" s="63" t="n">
        <v>8.279999999999999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4.6299991607666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43</v>
      </c>
    </row>
    <row r="3">
      <c r="A3" s="31" t="inlineStr">
        <is>
          <t>Product name</t>
        </is>
      </c>
      <c r="B3" s="34" t="inlineStr">
        <is>
          <t>Ladies' Straight Dresses (Short)</t>
        </is>
      </c>
    </row>
    <row r="4">
      <c r="A4" s="31" t="inlineStr">
        <is>
          <t>Initial stock quantity</t>
        </is>
      </c>
      <c r="B4" s="34" t="n">
        <v>10</v>
      </c>
    </row>
    <row r="5">
      <c r="A5" s="31" t="inlineStr">
        <is>
          <t>Unit cost (RMB)</t>
        </is>
      </c>
      <c r="B5" s="63" t="n">
        <v>25</v>
      </c>
    </row>
    <row r="6">
      <c r="A6" s="31" t="inlineStr">
        <is>
          <t>Selling price/item (RMB)</t>
        </is>
      </c>
      <c r="B6" s="63" t="n">
        <v>50</v>
      </c>
    </row>
    <row r="7">
      <c r="A7" s="31" t="inlineStr">
        <is>
          <t>Unit cost (USD)</t>
        </is>
      </c>
      <c r="B7" s="63" t="n">
        <v>3.69</v>
      </c>
    </row>
    <row r="8">
      <c r="A8" s="31" t="inlineStr">
        <is>
          <t>Selling price/item (USD)</t>
        </is>
      </c>
      <c r="B8" s="63" t="n">
        <v>7.39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0.14999961853027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44</v>
      </c>
    </row>
    <row r="3">
      <c r="A3" s="31" t="inlineStr">
        <is>
          <t>Product name</t>
        </is>
      </c>
      <c r="B3" s="34" t="inlineStr">
        <is>
          <t>Ladies' Colorful Long Dresses (Style A)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45</v>
      </c>
    </row>
    <row r="6">
      <c r="A6" s="31" t="inlineStr">
        <is>
          <t>Selling price/item (RMB)</t>
        </is>
      </c>
      <c r="B6" s="63" t="n">
        <v>90</v>
      </c>
    </row>
    <row r="7">
      <c r="A7" s="31" t="inlineStr">
        <is>
          <t>Unit cost (USD)</t>
        </is>
      </c>
      <c r="B7" s="63" t="n">
        <v>6.65</v>
      </c>
    </row>
    <row r="8">
      <c r="A8" s="31" t="inlineStr">
        <is>
          <t>Selling price/item (USD)</t>
        </is>
      </c>
      <c r="B8" s="63" t="n">
        <v>13.3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0.14999961853027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45</v>
      </c>
    </row>
    <row r="3">
      <c r="A3" s="31" t="inlineStr">
        <is>
          <t>Product name</t>
        </is>
      </c>
      <c r="B3" s="34" t="inlineStr">
        <is>
          <t>Ladies' Colorful Long Dresses (Style B)</t>
        </is>
      </c>
    </row>
    <row r="4">
      <c r="A4" s="31" t="inlineStr">
        <is>
          <t>Initial stock quantity</t>
        </is>
      </c>
      <c r="B4" s="34" t="n">
        <v>5</v>
      </c>
    </row>
    <row r="5">
      <c r="A5" s="31" t="inlineStr">
        <is>
          <t>Unit cost (RMB)</t>
        </is>
      </c>
      <c r="B5" s="63" t="n">
        <v>40</v>
      </c>
    </row>
    <row r="6">
      <c r="A6" s="31" t="inlineStr">
        <is>
          <t>Selling price/item (RMB)</t>
        </is>
      </c>
      <c r="B6" s="63" t="n">
        <v>80</v>
      </c>
    </row>
    <row r="7">
      <c r="A7" s="31" t="inlineStr">
        <is>
          <t>Unit cost (USD)</t>
        </is>
      </c>
      <c r="B7" s="63" t="n">
        <v>5.91</v>
      </c>
    </row>
    <row r="8">
      <c r="A8" s="31" t="inlineStr">
        <is>
          <t>Selling price/item (USD)</t>
        </is>
      </c>
      <c r="B8" s="63" t="n">
        <v>11.82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24.5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46</v>
      </c>
    </row>
    <row r="3">
      <c r="A3" s="31" t="inlineStr">
        <is>
          <t>Product name</t>
        </is>
      </c>
      <c r="B3" s="34" t="inlineStr">
        <is>
          <t>Generic Perfumes / Fragrances</t>
        </is>
      </c>
    </row>
    <row r="4">
      <c r="A4" s="31" t="inlineStr">
        <is>
          <t>Initial stock quantity</t>
        </is>
      </c>
      <c r="B4" s="34" t="n">
        <v>100</v>
      </c>
    </row>
    <row r="5">
      <c r="A5" s="31" t="inlineStr">
        <is>
          <t>Unit cost (RMB)</t>
        </is>
      </c>
      <c r="B5" s="63" t="n">
        <v>15.3</v>
      </c>
    </row>
    <row r="6">
      <c r="A6" s="31" t="inlineStr">
        <is>
          <t>Selling price/item (RMB)</t>
        </is>
      </c>
      <c r="B6" s="63" t="n">
        <v>30.6</v>
      </c>
    </row>
    <row r="7">
      <c r="A7" s="31" t="inlineStr">
        <is>
          <t>Unit cost (USD)</t>
        </is>
      </c>
      <c r="B7" s="63" t="n">
        <v>2.26</v>
      </c>
    </row>
    <row r="8">
      <c r="A8" s="31" t="inlineStr">
        <is>
          <t>Selling price/item (USD)</t>
        </is>
      </c>
      <c r="B8" s="63" t="n">
        <v>4.52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0.6900005340576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47</v>
      </c>
    </row>
    <row r="3">
      <c r="A3" s="31" t="inlineStr">
        <is>
          <t>Product name</t>
        </is>
      </c>
      <c r="B3" s="34" t="inlineStr">
        <is>
          <t>Ladies' Fashion Cargo Dresses (Style C)</t>
        </is>
      </c>
    </row>
    <row r="4">
      <c r="A4" s="31" t="inlineStr">
        <is>
          <t>Initial stock quantity</t>
        </is>
      </c>
      <c r="B4" s="34" t="n">
        <v>4</v>
      </c>
    </row>
    <row r="5">
      <c r="A5" s="31" t="inlineStr">
        <is>
          <t>Unit cost (RMB)</t>
        </is>
      </c>
      <c r="B5" s="63" t="n">
        <v>120</v>
      </c>
    </row>
    <row r="6">
      <c r="A6" s="31" t="inlineStr">
        <is>
          <t>Selling price/item (RMB)</t>
        </is>
      </c>
      <c r="B6" s="63" t="n">
        <v>240</v>
      </c>
    </row>
    <row r="7">
      <c r="A7" s="31" t="inlineStr">
        <is>
          <t>Unit cost (USD)</t>
        </is>
      </c>
      <c r="B7" s="63" t="n">
        <v>17.74</v>
      </c>
    </row>
    <row r="8">
      <c r="A8" s="31" t="inlineStr">
        <is>
          <t>Selling price/item (USD)</t>
        </is>
      </c>
      <c r="B8" s="63" t="n">
        <v>35.47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26.64999961853027" customWidth="1" min="1" max="1"/>
    <col width="30.81999969482422" customWidth="1" min="2" max="2"/>
    <col width="11.71000003814697" customWidth="1" min="3" max="3"/>
    <col width="10.89999961853027" customWidth="1" min="4" max="4"/>
    <col width="6.329999923706055" customWidth="1" min="5" max="5"/>
    <col width="12.64999961853027" customWidth="1" min="6" max="6"/>
    <col width="14.53999996185303" customWidth="1" min="7" max="7"/>
    <col width="14.13000011444092" customWidth="1" min="8" max="8"/>
    <col width="28" customWidth="1" min="9" max="9"/>
  </cols>
  <sheetData>
    <row r="1">
      <c r="A1" s="29" t="inlineStr">
        <is>
          <t>Stock Item Tracking Sheet</t>
        </is>
      </c>
      <c r="B1" s="1" t="n"/>
    </row>
    <row r="2">
      <c r="A2" s="31" t="inlineStr">
        <is>
          <t>Item No.</t>
        </is>
      </c>
      <c r="B2" s="34" t="n">
        <v>48</v>
      </c>
    </row>
    <row r="3">
      <c r="A3" s="31" t="inlineStr">
        <is>
          <t>Product name</t>
        </is>
      </c>
      <c r="B3" s="34" t="inlineStr">
        <is>
          <t>Ladies' Fashion Cargo Dresses (Style D)</t>
        </is>
      </c>
    </row>
    <row r="4">
      <c r="A4" s="31" t="inlineStr">
        <is>
          <t>Initial stock quantity</t>
        </is>
      </c>
      <c r="B4" s="34" t="n">
        <v>4</v>
      </c>
    </row>
    <row r="5">
      <c r="A5" s="31" t="inlineStr">
        <is>
          <t>Unit cost (RMB)</t>
        </is>
      </c>
      <c r="B5" s="63" t="n">
        <v>108</v>
      </c>
    </row>
    <row r="6">
      <c r="A6" s="31" t="inlineStr">
        <is>
          <t>Selling price/item (RMB)</t>
        </is>
      </c>
      <c r="B6" s="63" t="n">
        <v>216</v>
      </c>
    </row>
    <row r="7">
      <c r="A7" s="31" t="inlineStr">
        <is>
          <t>Unit cost (USD)</t>
        </is>
      </c>
      <c r="B7" s="63" t="n">
        <v>15.96</v>
      </c>
    </row>
    <row r="8">
      <c r="A8" s="31" t="inlineStr">
        <is>
          <t>Selling price/item (USD)</t>
        </is>
      </c>
      <c r="B8" s="63" t="n">
        <v>31.92</v>
      </c>
    </row>
    <row r="10">
      <c r="A10" s="6" t="inlineStr">
        <is>
          <t>Date</t>
        </is>
      </c>
      <c r="B10" s="6" t="inlineStr">
        <is>
          <t>Opening balance</t>
        </is>
      </c>
      <c r="C10" s="6" t="inlineStr">
        <is>
          <t>Stock received</t>
        </is>
      </c>
      <c r="D10" s="6" t="inlineStr">
        <is>
          <t>Quantity sold</t>
        </is>
      </c>
      <c r="E10" s="6" t="inlineStr">
        <is>
          <t>Returns</t>
        </is>
      </c>
      <c r="F10" s="6" t="inlineStr">
        <is>
          <t>Closing balance</t>
        </is>
      </c>
      <c r="G10" s="6" t="inlineStr">
        <is>
          <t>Sales value (RMB)</t>
        </is>
      </c>
      <c r="H10" s="6" t="inlineStr">
        <is>
          <t>Sales value (USD)</t>
        </is>
      </c>
      <c r="I10" s="6" t="inlineStr">
        <is>
          <t>Notes</t>
        </is>
      </c>
    </row>
    <row r="11">
      <c r="A11" s="64" t="str"/>
      <c r="B11" s="65">
        <f>$B$4</f>
        <v/>
      </c>
      <c r="C11" s="65" t="n">
        <v>0</v>
      </c>
      <c r="D11" s="65" t="n">
        <v>0</v>
      </c>
      <c r="E11" s="65" t="n">
        <v>0</v>
      </c>
      <c r="F11" s="65">
        <f>B11+C11+E11-D11</f>
        <v/>
      </c>
      <c r="G11" s="63">
        <f>D11*$B$6</f>
        <v/>
      </c>
      <c r="H11" s="63">
        <f>D11*$B$8</f>
        <v/>
      </c>
      <c r="I11" s="34" t="str"/>
    </row>
    <row r="12">
      <c r="A12" s="64" t="str"/>
      <c r="B12" s="65">
        <f>F11</f>
        <v/>
      </c>
      <c r="C12" s="65" t="n">
        <v>0</v>
      </c>
      <c r="D12" s="65" t="n">
        <v>0</v>
      </c>
      <c r="E12" s="65" t="n">
        <v>0</v>
      </c>
      <c r="F12" s="65">
        <f>B12+C12+E12-D12</f>
        <v/>
      </c>
      <c r="G12" s="63">
        <f>D12*$B$6</f>
        <v/>
      </c>
      <c r="H12" s="63">
        <f>D12*$B$8</f>
        <v/>
      </c>
      <c r="I12" s="34" t="str"/>
    </row>
    <row r="13">
      <c r="A13" s="64" t="str"/>
      <c r="B13" s="65">
        <f>F12</f>
        <v/>
      </c>
      <c r="C13" s="65" t="n">
        <v>0</v>
      </c>
      <c r="D13" s="65" t="n">
        <v>0</v>
      </c>
      <c r="E13" s="65" t="n">
        <v>0</v>
      </c>
      <c r="F13" s="65">
        <f>B13+C13+E13-D13</f>
        <v/>
      </c>
      <c r="G13" s="63">
        <f>D13*$B$6</f>
        <v/>
      </c>
      <c r="H13" s="63">
        <f>D13*$B$8</f>
        <v/>
      </c>
      <c r="I13" s="34" t="str"/>
    </row>
    <row r="14">
      <c r="A14" s="64" t="str"/>
      <c r="B14" s="65">
        <f>F13</f>
        <v/>
      </c>
      <c r="C14" s="65" t="n">
        <v>0</v>
      </c>
      <c r="D14" s="65" t="n">
        <v>0</v>
      </c>
      <c r="E14" s="65" t="n">
        <v>0</v>
      </c>
      <c r="F14" s="65">
        <f>B14+C14+E14-D14</f>
        <v/>
      </c>
      <c r="G14" s="63">
        <f>D14*$B$6</f>
        <v/>
      </c>
      <c r="H14" s="63">
        <f>D14*$B$8</f>
        <v/>
      </c>
      <c r="I14" s="34" t="str"/>
    </row>
    <row r="15">
      <c r="A15" s="64" t="str"/>
      <c r="B15" s="65">
        <f>F14</f>
        <v/>
      </c>
      <c r="C15" s="65" t="n">
        <v>0</v>
      </c>
      <c r="D15" s="65" t="n">
        <v>0</v>
      </c>
      <c r="E15" s="65" t="n">
        <v>0</v>
      </c>
      <c r="F15" s="65">
        <f>B15+C15+E15-D15</f>
        <v/>
      </c>
      <c r="G15" s="63">
        <f>D15*$B$6</f>
        <v/>
      </c>
      <c r="H15" s="63">
        <f>D15*$B$8</f>
        <v/>
      </c>
      <c r="I15" s="34" t="str"/>
    </row>
    <row r="16">
      <c r="A16" s="64" t="str"/>
      <c r="B16" s="65">
        <f>F15</f>
        <v/>
      </c>
      <c r="C16" s="65" t="n">
        <v>0</v>
      </c>
      <c r="D16" s="65" t="n">
        <v>0</v>
      </c>
      <c r="E16" s="65" t="n">
        <v>0</v>
      </c>
      <c r="F16" s="65">
        <f>B16+C16+E16-D16</f>
        <v/>
      </c>
      <c r="G16" s="63">
        <f>D16*$B$6</f>
        <v/>
      </c>
      <c r="H16" s="63">
        <f>D16*$B$8</f>
        <v/>
      </c>
      <c r="I16" s="34" t="str"/>
    </row>
    <row r="17">
      <c r="A17" s="64" t="str"/>
      <c r="B17" s="65">
        <f>F16</f>
        <v/>
      </c>
      <c r="C17" s="65" t="n">
        <v>0</v>
      </c>
      <c r="D17" s="65" t="n">
        <v>0</v>
      </c>
      <c r="E17" s="65" t="n">
        <v>0</v>
      </c>
      <c r="F17" s="65">
        <f>B17+C17+E17-D17</f>
        <v/>
      </c>
      <c r="G17" s="63">
        <f>D17*$B$6</f>
        <v/>
      </c>
      <c r="H17" s="63">
        <f>D17*$B$8</f>
        <v/>
      </c>
      <c r="I17" s="34" t="str"/>
    </row>
    <row r="18">
      <c r="A18" s="64" t="str"/>
      <c r="B18" s="65">
        <f>F17</f>
        <v/>
      </c>
      <c r="C18" s="65" t="n">
        <v>0</v>
      </c>
      <c r="D18" s="65" t="n">
        <v>0</v>
      </c>
      <c r="E18" s="65" t="n">
        <v>0</v>
      </c>
      <c r="F18" s="65">
        <f>B18+C18+E18-D18</f>
        <v/>
      </c>
      <c r="G18" s="63">
        <f>D18*$B$6</f>
        <v/>
      </c>
      <c r="H18" s="63">
        <f>D18*$B$8</f>
        <v/>
      </c>
      <c r="I18" s="34" t="str"/>
    </row>
    <row r="19">
      <c r="A19" s="64" t="str"/>
      <c r="B19" s="65">
        <f>F18</f>
        <v/>
      </c>
      <c r="C19" s="65" t="n">
        <v>0</v>
      </c>
      <c r="D19" s="65" t="n">
        <v>0</v>
      </c>
      <c r="E19" s="65" t="n">
        <v>0</v>
      </c>
      <c r="F19" s="65">
        <f>B19+C19+E19-D19</f>
        <v/>
      </c>
      <c r="G19" s="63">
        <f>D19*$B$6</f>
        <v/>
      </c>
      <c r="H19" s="63">
        <f>D19*$B$8</f>
        <v/>
      </c>
      <c r="I19" s="34" t="str"/>
    </row>
    <row r="20">
      <c r="A20" s="64" t="str"/>
      <c r="B20" s="65">
        <f>F19</f>
        <v/>
      </c>
      <c r="C20" s="65" t="n">
        <v>0</v>
      </c>
      <c r="D20" s="65" t="n">
        <v>0</v>
      </c>
      <c r="E20" s="65" t="n">
        <v>0</v>
      </c>
      <c r="F20" s="65">
        <f>B20+C20+E20-D20</f>
        <v/>
      </c>
      <c r="G20" s="63">
        <f>D20*$B$6</f>
        <v/>
      </c>
      <c r="H20" s="63">
        <f>D20*$B$8</f>
        <v/>
      </c>
      <c r="I20" s="34" t="str"/>
    </row>
    <row r="21">
      <c r="A21" s="64" t="str"/>
      <c r="B21" s="65">
        <f>F20</f>
        <v/>
      </c>
      <c r="C21" s="65" t="n">
        <v>0</v>
      </c>
      <c r="D21" s="65" t="n">
        <v>0</v>
      </c>
      <c r="E21" s="65" t="n">
        <v>0</v>
      </c>
      <c r="F21" s="65">
        <f>B21+C21+E21-D21</f>
        <v/>
      </c>
      <c r="G21" s="63">
        <f>D21*$B$6</f>
        <v/>
      </c>
      <c r="H21" s="63">
        <f>D21*$B$8</f>
        <v/>
      </c>
      <c r="I21" s="34" t="str"/>
    </row>
    <row r="22">
      <c r="A22" s="64" t="str"/>
      <c r="B22" s="65">
        <f>F21</f>
        <v/>
      </c>
      <c r="C22" s="65" t="n">
        <v>0</v>
      </c>
      <c r="D22" s="65" t="n">
        <v>0</v>
      </c>
      <c r="E22" s="65" t="n">
        <v>0</v>
      </c>
      <c r="F22" s="65">
        <f>B22+C22+E22-D22</f>
        <v/>
      </c>
      <c r="G22" s="63">
        <f>D22*$B$6</f>
        <v/>
      </c>
      <c r="H22" s="63">
        <f>D22*$B$8</f>
        <v/>
      </c>
      <c r="I22" s="34" t="str"/>
    </row>
    <row r="23">
      <c r="A23" s="64" t="str"/>
      <c r="B23" s="65">
        <f>F22</f>
        <v/>
      </c>
      <c r="C23" s="65" t="n">
        <v>0</v>
      </c>
      <c r="D23" s="65" t="n">
        <v>0</v>
      </c>
      <c r="E23" s="65" t="n">
        <v>0</v>
      </c>
      <c r="F23" s="65">
        <f>B23+C23+E23-D23</f>
        <v/>
      </c>
      <c r="G23" s="63">
        <f>D23*$B$6</f>
        <v/>
      </c>
      <c r="H23" s="63">
        <f>D23*$B$8</f>
        <v/>
      </c>
      <c r="I23" s="34" t="str"/>
    </row>
    <row r="24">
      <c r="A24" s="64" t="str"/>
      <c r="B24" s="65">
        <f>F23</f>
        <v/>
      </c>
      <c r="C24" s="65" t="n">
        <v>0</v>
      </c>
      <c r="D24" s="65" t="n">
        <v>0</v>
      </c>
      <c r="E24" s="65" t="n">
        <v>0</v>
      </c>
      <c r="F24" s="65">
        <f>B24+C24+E24-D24</f>
        <v/>
      </c>
      <c r="G24" s="63">
        <f>D24*$B$6</f>
        <v/>
      </c>
      <c r="H24" s="63">
        <f>D24*$B$8</f>
        <v/>
      </c>
      <c r="I24" s="34" t="str"/>
    </row>
    <row r="25">
      <c r="A25" s="64" t="str"/>
      <c r="B25" s="65">
        <f>F24</f>
        <v/>
      </c>
      <c r="C25" s="65" t="n">
        <v>0</v>
      </c>
      <c r="D25" s="65" t="n">
        <v>0</v>
      </c>
      <c r="E25" s="65" t="n">
        <v>0</v>
      </c>
      <c r="F25" s="65">
        <f>B25+C25+E25-D25</f>
        <v/>
      </c>
      <c r="G25" s="63">
        <f>D25*$B$6</f>
        <v/>
      </c>
      <c r="H25" s="63">
        <f>D25*$B$8</f>
        <v/>
      </c>
      <c r="I25" s="34" t="str"/>
    </row>
    <row r="26">
      <c r="A26" s="64" t="str"/>
      <c r="B26" s="65">
        <f>F25</f>
        <v/>
      </c>
      <c r="C26" s="65" t="n">
        <v>0</v>
      </c>
      <c r="D26" s="65" t="n">
        <v>0</v>
      </c>
      <c r="E26" s="65" t="n">
        <v>0</v>
      </c>
      <c r="F26" s="65">
        <f>B26+C26+E26-D26</f>
        <v/>
      </c>
      <c r="G26" s="63">
        <f>D26*$B$6</f>
        <v/>
      </c>
      <c r="H26" s="63">
        <f>D26*$B$8</f>
        <v/>
      </c>
      <c r="I26" s="34" t="str"/>
    </row>
    <row r="27">
      <c r="A27" s="64" t="str"/>
      <c r="B27" s="65">
        <f>F26</f>
        <v/>
      </c>
      <c r="C27" s="65" t="n">
        <v>0</v>
      </c>
      <c r="D27" s="65" t="n">
        <v>0</v>
      </c>
      <c r="E27" s="65" t="n">
        <v>0</v>
      </c>
      <c r="F27" s="65">
        <f>B27+C27+E27-D27</f>
        <v/>
      </c>
      <c r="G27" s="63">
        <f>D27*$B$6</f>
        <v/>
      </c>
      <c r="H27" s="63">
        <f>D27*$B$8</f>
        <v/>
      </c>
      <c r="I27" s="34" t="str"/>
    </row>
    <row r="28">
      <c r="A28" s="64" t="str"/>
      <c r="B28" s="65">
        <f>F27</f>
        <v/>
      </c>
      <c r="C28" s="65" t="n">
        <v>0</v>
      </c>
      <c r="D28" s="65" t="n">
        <v>0</v>
      </c>
      <c r="E28" s="65" t="n">
        <v>0</v>
      </c>
      <c r="F28" s="65">
        <f>B28+C28+E28-D28</f>
        <v/>
      </c>
      <c r="G28" s="63">
        <f>D28*$B$6</f>
        <v/>
      </c>
      <c r="H28" s="63">
        <f>D28*$B$8</f>
        <v/>
      </c>
      <c r="I28" s="34" t="str"/>
    </row>
    <row r="29">
      <c r="A29" s="64" t="str"/>
      <c r="B29" s="65">
        <f>F28</f>
        <v/>
      </c>
      <c r="C29" s="65" t="n">
        <v>0</v>
      </c>
      <c r="D29" s="65" t="n">
        <v>0</v>
      </c>
      <c r="E29" s="65" t="n">
        <v>0</v>
      </c>
      <c r="F29" s="65">
        <f>B29+C29+E29-D29</f>
        <v/>
      </c>
      <c r="G29" s="63">
        <f>D29*$B$6</f>
        <v/>
      </c>
      <c r="H29" s="63">
        <f>D29*$B$8</f>
        <v/>
      </c>
      <c r="I29" s="34" t="str"/>
    </row>
    <row r="30">
      <c r="A30" s="64" t="str"/>
      <c r="B30" s="65">
        <f>F29</f>
        <v/>
      </c>
      <c r="C30" s="65" t="n">
        <v>0</v>
      </c>
      <c r="D30" s="65" t="n">
        <v>0</v>
      </c>
      <c r="E30" s="65" t="n">
        <v>0</v>
      </c>
      <c r="F30" s="65">
        <f>B30+C30+E30-D30</f>
        <v/>
      </c>
      <c r="G30" s="63">
        <f>D30*$B$6</f>
        <v/>
      </c>
      <c r="H30" s="63">
        <f>D30*$B$8</f>
        <v/>
      </c>
      <c r="I30" s="34" t="str"/>
    </row>
    <row r="31">
      <c r="A31" s="64" t="str"/>
      <c r="B31" s="65">
        <f>F30</f>
        <v/>
      </c>
      <c r="C31" s="65" t="n">
        <v>0</v>
      </c>
      <c r="D31" s="65" t="n">
        <v>0</v>
      </c>
      <c r="E31" s="65" t="n">
        <v>0</v>
      </c>
      <c r="F31" s="65">
        <f>B31+C31+E31-D31</f>
        <v/>
      </c>
      <c r="G31" s="63">
        <f>D31*$B$6</f>
        <v/>
      </c>
      <c r="H31" s="63">
        <f>D31*$B$8</f>
        <v/>
      </c>
      <c r="I31" s="34" t="str"/>
    </row>
    <row r="32">
      <c r="A32" s="64" t="str"/>
      <c r="B32" s="65">
        <f>F31</f>
        <v/>
      </c>
      <c r="C32" s="65" t="n">
        <v>0</v>
      </c>
      <c r="D32" s="65" t="n">
        <v>0</v>
      </c>
      <c r="E32" s="65" t="n">
        <v>0</v>
      </c>
      <c r="F32" s="65">
        <f>B32+C32+E32-D32</f>
        <v/>
      </c>
      <c r="G32" s="63">
        <f>D32*$B$6</f>
        <v/>
      </c>
      <c r="H32" s="63">
        <f>D32*$B$8</f>
        <v/>
      </c>
      <c r="I32" s="34" t="str"/>
    </row>
    <row r="33">
      <c r="A33" s="64" t="str"/>
      <c r="B33" s="65">
        <f>F32</f>
        <v/>
      </c>
      <c r="C33" s="65" t="n">
        <v>0</v>
      </c>
      <c r="D33" s="65" t="n">
        <v>0</v>
      </c>
      <c r="E33" s="65" t="n">
        <v>0</v>
      </c>
      <c r="F33" s="65">
        <f>B33+C33+E33-D33</f>
        <v/>
      </c>
      <c r="G33" s="63">
        <f>D33*$B$6</f>
        <v/>
      </c>
      <c r="H33" s="63">
        <f>D33*$B$8</f>
        <v/>
      </c>
      <c r="I33" s="34" t="str"/>
    </row>
    <row r="34">
      <c r="A34" s="64" t="str"/>
      <c r="B34" s="65">
        <f>F33</f>
        <v/>
      </c>
      <c r="C34" s="65" t="n">
        <v>0</v>
      </c>
      <c r="D34" s="65" t="n">
        <v>0</v>
      </c>
      <c r="E34" s="65" t="n">
        <v>0</v>
      </c>
      <c r="F34" s="65">
        <f>B34+C34+E34-D34</f>
        <v/>
      </c>
      <c r="G34" s="63">
        <f>D34*$B$6</f>
        <v/>
      </c>
      <c r="H34" s="63">
        <f>D34*$B$8</f>
        <v/>
      </c>
      <c r="I34" s="34" t="str"/>
    </row>
    <row r="35">
      <c r="A35" s="64" t="str"/>
      <c r="B35" s="65">
        <f>F34</f>
        <v/>
      </c>
      <c r="C35" s="65" t="n">
        <v>0</v>
      </c>
      <c r="D35" s="65" t="n">
        <v>0</v>
      </c>
      <c r="E35" s="65" t="n">
        <v>0</v>
      </c>
      <c r="F35" s="65">
        <f>B35+C35+E35-D35</f>
        <v/>
      </c>
      <c r="G35" s="63">
        <f>D35*$B$6</f>
        <v/>
      </c>
      <c r="H35" s="63">
        <f>D35*$B$8</f>
        <v/>
      </c>
      <c r="I35" s="34" t="str"/>
    </row>
    <row r="36">
      <c r="A36" s="64" t="str"/>
      <c r="B36" s="65">
        <f>F35</f>
        <v/>
      </c>
      <c r="C36" s="65" t="n">
        <v>0</v>
      </c>
      <c r="D36" s="65" t="n">
        <v>0</v>
      </c>
      <c r="E36" s="65" t="n">
        <v>0</v>
      </c>
      <c r="F36" s="65">
        <f>B36+C36+E36-D36</f>
        <v/>
      </c>
      <c r="G36" s="63">
        <f>D36*$B$6</f>
        <v/>
      </c>
      <c r="H36" s="63">
        <f>D36*$B$8</f>
        <v/>
      </c>
      <c r="I36" s="34" t="str"/>
    </row>
    <row r="37">
      <c r="A37" s="64" t="str"/>
      <c r="B37" s="65">
        <f>F36</f>
        <v/>
      </c>
      <c r="C37" s="65" t="n">
        <v>0</v>
      </c>
      <c r="D37" s="65" t="n">
        <v>0</v>
      </c>
      <c r="E37" s="65" t="n">
        <v>0</v>
      </c>
      <c r="F37" s="65">
        <f>B37+C37+E37-D37</f>
        <v/>
      </c>
      <c r="G37" s="63">
        <f>D37*$B$6</f>
        <v/>
      </c>
      <c r="H37" s="63">
        <f>D37*$B$8</f>
        <v/>
      </c>
      <c r="I37" s="34" t="str"/>
    </row>
    <row r="38">
      <c r="A38" s="64" t="str"/>
      <c r="B38" s="65">
        <f>F37</f>
        <v/>
      </c>
      <c r="C38" s="65" t="n">
        <v>0</v>
      </c>
      <c r="D38" s="65" t="n">
        <v>0</v>
      </c>
      <c r="E38" s="65" t="n">
        <v>0</v>
      </c>
      <c r="F38" s="65">
        <f>B38+C38+E38-D38</f>
        <v/>
      </c>
      <c r="G38" s="63">
        <f>D38*$B$6</f>
        <v/>
      </c>
      <c r="H38" s="63">
        <f>D38*$B$8</f>
        <v/>
      </c>
      <c r="I38" s="34" t="str"/>
    </row>
    <row r="39">
      <c r="A39" s="64" t="str"/>
      <c r="B39" s="65">
        <f>F38</f>
        <v/>
      </c>
      <c r="C39" s="65" t="n">
        <v>0</v>
      </c>
      <c r="D39" s="65" t="n">
        <v>0</v>
      </c>
      <c r="E39" s="65" t="n">
        <v>0</v>
      </c>
      <c r="F39" s="65">
        <f>B39+C39+E39-D39</f>
        <v/>
      </c>
      <c r="G39" s="63">
        <f>D39*$B$6</f>
        <v/>
      </c>
      <c r="H39" s="63">
        <f>D39*$B$8</f>
        <v/>
      </c>
      <c r="I39" s="34" t="str"/>
    </row>
    <row r="40">
      <c r="A40" s="64" t="str"/>
      <c r="B40" s="65">
        <f>F39</f>
        <v/>
      </c>
      <c r="C40" s="65" t="n">
        <v>0</v>
      </c>
      <c r="D40" s="65" t="n">
        <v>0</v>
      </c>
      <c r="E40" s="65" t="n">
        <v>0</v>
      </c>
      <c r="F40" s="65">
        <f>B40+C40+E40-D40</f>
        <v/>
      </c>
      <c r="G40" s="63">
        <f>D40*$B$6</f>
        <v/>
      </c>
      <c r="H40" s="63">
        <f>D40*$B$8</f>
        <v/>
      </c>
      <c r="I40" s="34" t="str"/>
    </row>
    <row r="41">
      <c r="A41" s="64" t="str"/>
      <c r="B41" s="65">
        <f>F40</f>
        <v/>
      </c>
      <c r="C41" s="65" t="n">
        <v>0</v>
      </c>
      <c r="D41" s="65" t="n">
        <v>0</v>
      </c>
      <c r="E41" s="65" t="n">
        <v>0</v>
      </c>
      <c r="F41" s="65">
        <f>B41+C41+E41-D41</f>
        <v/>
      </c>
      <c r="G41" s="63">
        <f>D41*$B$6</f>
        <v/>
      </c>
      <c r="H41" s="63">
        <f>D41*$B$8</f>
        <v/>
      </c>
      <c r="I41" s="34" t="str"/>
    </row>
    <row r="42">
      <c r="A42" s="64" t="str"/>
      <c r="B42" s="65">
        <f>F41</f>
        <v/>
      </c>
      <c r="C42" s="65" t="n">
        <v>0</v>
      </c>
      <c r="D42" s="65" t="n">
        <v>0</v>
      </c>
      <c r="E42" s="65" t="n">
        <v>0</v>
      </c>
      <c r="F42" s="65">
        <f>B42+C42+E42-D42</f>
        <v/>
      </c>
      <c r="G42" s="63">
        <f>D42*$B$6</f>
        <v/>
      </c>
      <c r="H42" s="63">
        <f>D42*$B$8</f>
        <v/>
      </c>
      <c r="I42" s="34" t="str"/>
    </row>
    <row r="43">
      <c r="A43" s="64" t="str"/>
      <c r="B43" s="65">
        <f>F42</f>
        <v/>
      </c>
      <c r="C43" s="65" t="n">
        <v>0</v>
      </c>
      <c r="D43" s="65" t="n">
        <v>0</v>
      </c>
      <c r="E43" s="65" t="n">
        <v>0</v>
      </c>
      <c r="F43" s="65">
        <f>B43+C43+E43-D43</f>
        <v/>
      </c>
      <c r="G43" s="63">
        <f>D43*$B$6</f>
        <v/>
      </c>
      <c r="H43" s="63">
        <f>D43*$B$8</f>
        <v/>
      </c>
      <c r="I43" s="34" t="str"/>
    </row>
    <row r="44">
      <c r="A44" s="64" t="str"/>
      <c r="B44" s="65">
        <f>F43</f>
        <v/>
      </c>
      <c r="C44" s="65" t="n">
        <v>0</v>
      </c>
      <c r="D44" s="65" t="n">
        <v>0</v>
      </c>
      <c r="E44" s="65" t="n">
        <v>0</v>
      </c>
      <c r="F44" s="65">
        <f>B44+C44+E44-D44</f>
        <v/>
      </c>
      <c r="G44" s="63">
        <f>D44*$B$6</f>
        <v/>
      </c>
      <c r="H44" s="63">
        <f>D44*$B$8</f>
        <v/>
      </c>
      <c r="I44" s="34" t="str"/>
    </row>
    <row r="45">
      <c r="A45" s="64" t="str"/>
      <c r="B45" s="65">
        <f>F44</f>
        <v/>
      </c>
      <c r="C45" s="65" t="n">
        <v>0</v>
      </c>
      <c r="D45" s="65" t="n">
        <v>0</v>
      </c>
      <c r="E45" s="65" t="n">
        <v>0</v>
      </c>
      <c r="F45" s="65">
        <f>B45+C45+E45-D45</f>
        <v/>
      </c>
      <c r="G45" s="63">
        <f>D45*$B$6</f>
        <v/>
      </c>
      <c r="H45" s="63">
        <f>D45*$B$8</f>
        <v/>
      </c>
      <c r="I45" s="34" t="str"/>
    </row>
    <row r="46">
      <c r="A46" s="64" t="str"/>
      <c r="B46" s="65">
        <f>F45</f>
        <v/>
      </c>
      <c r="C46" s="65" t="n">
        <v>0</v>
      </c>
      <c r="D46" s="65" t="n">
        <v>0</v>
      </c>
      <c r="E46" s="65" t="n">
        <v>0</v>
      </c>
      <c r="F46" s="65">
        <f>B46+C46+E46-D46</f>
        <v/>
      </c>
      <c r="G46" s="63">
        <f>D46*$B$6</f>
        <v/>
      </c>
      <c r="H46" s="63">
        <f>D46*$B$8</f>
        <v/>
      </c>
      <c r="I46" s="34" t="str"/>
    </row>
    <row r="47">
      <c r="A47" s="64" t="str"/>
      <c r="B47" s="65">
        <f>F46</f>
        <v/>
      </c>
      <c r="C47" s="65" t="n">
        <v>0</v>
      </c>
      <c r="D47" s="65" t="n">
        <v>0</v>
      </c>
      <c r="E47" s="65" t="n">
        <v>0</v>
      </c>
      <c r="F47" s="65">
        <f>B47+C47+E47-D47</f>
        <v/>
      </c>
      <c r="G47" s="63">
        <f>D47*$B$6</f>
        <v/>
      </c>
      <c r="H47" s="63">
        <f>D47*$B$8</f>
        <v/>
      </c>
      <c r="I47" s="34" t="str"/>
    </row>
    <row r="48">
      <c r="A48" s="64" t="str"/>
      <c r="B48" s="65">
        <f>F47</f>
        <v/>
      </c>
      <c r="C48" s="65" t="n">
        <v>0</v>
      </c>
      <c r="D48" s="65" t="n">
        <v>0</v>
      </c>
      <c r="E48" s="65" t="n">
        <v>0</v>
      </c>
      <c r="F48" s="65">
        <f>B48+C48+E48-D48</f>
        <v/>
      </c>
      <c r="G48" s="63">
        <f>D48*$B$6</f>
        <v/>
      </c>
      <c r="H48" s="63">
        <f>D48*$B$8</f>
        <v/>
      </c>
      <c r="I48" s="34" t="str"/>
    </row>
    <row r="49">
      <c r="A49" s="64" t="str"/>
      <c r="B49" s="65">
        <f>F48</f>
        <v/>
      </c>
      <c r="C49" s="65" t="n">
        <v>0</v>
      </c>
      <c r="D49" s="65" t="n">
        <v>0</v>
      </c>
      <c r="E49" s="65" t="n">
        <v>0</v>
      </c>
      <c r="F49" s="65">
        <f>B49+C49+E49-D49</f>
        <v/>
      </c>
      <c r="G49" s="63">
        <f>D49*$B$6</f>
        <v/>
      </c>
      <c r="H49" s="63">
        <f>D49*$B$8</f>
        <v/>
      </c>
      <c r="I49" s="34" t="str"/>
    </row>
    <row r="50">
      <c r="A50" s="64" t="str"/>
      <c r="B50" s="65">
        <f>F49</f>
        <v/>
      </c>
      <c r="C50" s="65" t="n">
        <v>0</v>
      </c>
      <c r="D50" s="65" t="n">
        <v>0</v>
      </c>
      <c r="E50" s="65" t="n">
        <v>0</v>
      </c>
      <c r="F50" s="65">
        <f>B50+C50+E50-D50</f>
        <v/>
      </c>
      <c r="G50" s="63">
        <f>D50*$B$6</f>
        <v/>
      </c>
      <c r="H50" s="63">
        <f>D50*$B$8</f>
        <v/>
      </c>
      <c r="I50" s="34" t="str"/>
    </row>
    <row r="51">
      <c r="A51" s="64" t="str"/>
      <c r="B51" s="65">
        <f>F50</f>
        <v/>
      </c>
      <c r="C51" s="65" t="n">
        <v>0</v>
      </c>
      <c r="D51" s="65" t="n">
        <v>0</v>
      </c>
      <c r="E51" s="65" t="n">
        <v>0</v>
      </c>
      <c r="F51" s="65">
        <f>B51+C51+E51-D51</f>
        <v/>
      </c>
      <c r="G51" s="63">
        <f>D51*$B$6</f>
        <v/>
      </c>
      <c r="H51" s="63">
        <f>D51*$B$8</f>
        <v/>
      </c>
      <c r="I51" s="34" t="str"/>
    </row>
    <row r="52">
      <c r="A52" s="64" t="str"/>
      <c r="B52" s="65">
        <f>F51</f>
        <v/>
      </c>
      <c r="C52" s="65" t="n">
        <v>0</v>
      </c>
      <c r="D52" s="65" t="n">
        <v>0</v>
      </c>
      <c r="E52" s="65" t="n">
        <v>0</v>
      </c>
      <c r="F52" s="65">
        <f>B52+C52+E52-D52</f>
        <v/>
      </c>
      <c r="G52" s="63">
        <f>D52*$B$6</f>
        <v/>
      </c>
      <c r="H52" s="63">
        <f>D52*$B$8</f>
        <v/>
      </c>
      <c r="I52" s="34" t="str"/>
    </row>
    <row r="53">
      <c r="A53" s="64" t="str"/>
      <c r="B53" s="65">
        <f>F52</f>
        <v/>
      </c>
      <c r="C53" s="65" t="n">
        <v>0</v>
      </c>
      <c r="D53" s="65" t="n">
        <v>0</v>
      </c>
      <c r="E53" s="65" t="n">
        <v>0</v>
      </c>
      <c r="F53" s="65">
        <f>B53+C53+E53-D53</f>
        <v/>
      </c>
      <c r="G53" s="63">
        <f>D53*$B$6</f>
        <v/>
      </c>
      <c r="H53" s="63">
        <f>D53*$B$8</f>
        <v/>
      </c>
      <c r="I53" s="34" t="str"/>
    </row>
    <row r="54">
      <c r="A54" s="64" t="str"/>
      <c r="B54" s="65">
        <f>F53</f>
        <v/>
      </c>
      <c r="C54" s="65" t="n">
        <v>0</v>
      </c>
      <c r="D54" s="65" t="n">
        <v>0</v>
      </c>
      <c r="E54" s="65" t="n">
        <v>0</v>
      </c>
      <c r="F54" s="65">
        <f>B54+C54+E54-D54</f>
        <v/>
      </c>
      <c r="G54" s="63">
        <f>D54*$B$6</f>
        <v/>
      </c>
      <c r="H54" s="63">
        <f>D54*$B$8</f>
        <v/>
      </c>
      <c r="I54" s="34" t="str"/>
    </row>
    <row r="55">
      <c r="A55" s="64" t="str"/>
      <c r="B55" s="65">
        <f>F54</f>
        <v/>
      </c>
      <c r="C55" s="65" t="n">
        <v>0</v>
      </c>
      <c r="D55" s="65" t="n">
        <v>0</v>
      </c>
      <c r="E55" s="65" t="n">
        <v>0</v>
      </c>
      <c r="F55" s="65">
        <f>B55+C55+E55-D55</f>
        <v/>
      </c>
      <c r="G55" s="63">
        <f>D55*$B$6</f>
        <v/>
      </c>
      <c r="H55" s="63">
        <f>D55*$B$8</f>
        <v/>
      </c>
      <c r="I55" s="34" t="str"/>
    </row>
    <row r="56">
      <c r="A56" s="64" t="str"/>
      <c r="B56" s="65">
        <f>F55</f>
        <v/>
      </c>
      <c r="C56" s="65" t="n">
        <v>0</v>
      </c>
      <c r="D56" s="65" t="n">
        <v>0</v>
      </c>
      <c r="E56" s="65" t="n">
        <v>0</v>
      </c>
      <c r="F56" s="65">
        <f>B56+C56+E56-D56</f>
        <v/>
      </c>
      <c r="G56" s="63">
        <f>D56*$B$6</f>
        <v/>
      </c>
      <c r="H56" s="63">
        <f>D56*$B$8</f>
        <v/>
      </c>
      <c r="I56" s="34" t="str"/>
    </row>
    <row r="57">
      <c r="A57" s="64" t="str"/>
      <c r="B57" s="65">
        <f>F56</f>
        <v/>
      </c>
      <c r="C57" s="65" t="n">
        <v>0</v>
      </c>
      <c r="D57" s="65" t="n">
        <v>0</v>
      </c>
      <c r="E57" s="65" t="n">
        <v>0</v>
      </c>
      <c r="F57" s="65">
        <f>B57+C57+E57-D57</f>
        <v/>
      </c>
      <c r="G57" s="63">
        <f>D57*$B$6</f>
        <v/>
      </c>
      <c r="H57" s="63">
        <f>D57*$B$8</f>
        <v/>
      </c>
      <c r="I57" s="34" t="str"/>
    </row>
    <row r="58">
      <c r="A58" s="64" t="str"/>
      <c r="B58" s="65">
        <f>F57</f>
        <v/>
      </c>
      <c r="C58" s="65" t="n">
        <v>0</v>
      </c>
      <c r="D58" s="65" t="n">
        <v>0</v>
      </c>
      <c r="E58" s="65" t="n">
        <v>0</v>
      </c>
      <c r="F58" s="65">
        <f>B58+C58+E58-D58</f>
        <v/>
      </c>
      <c r="G58" s="63">
        <f>D58*$B$6</f>
        <v/>
      </c>
      <c r="H58" s="63">
        <f>D58*$B$8</f>
        <v/>
      </c>
      <c r="I58" s="34" t="str"/>
    </row>
    <row r="59">
      <c r="A59" s="64" t="str"/>
      <c r="B59" s="65">
        <f>F58</f>
        <v/>
      </c>
      <c r="C59" s="65" t="n">
        <v>0</v>
      </c>
      <c r="D59" s="65" t="n">
        <v>0</v>
      </c>
      <c r="E59" s="65" t="n">
        <v>0</v>
      </c>
      <c r="F59" s="65">
        <f>B59+C59+E59-D59</f>
        <v/>
      </c>
      <c r="G59" s="63">
        <f>D59*$B$6</f>
        <v/>
      </c>
      <c r="H59" s="63">
        <f>D59*$B$8</f>
        <v/>
      </c>
      <c r="I59" s="34" t="str"/>
    </row>
    <row r="60">
      <c r="A60" s="64" t="str"/>
      <c r="B60" s="65">
        <f>F59</f>
        <v/>
      </c>
      <c r="C60" s="65" t="n">
        <v>0</v>
      </c>
      <c r="D60" s="65" t="n">
        <v>0</v>
      </c>
      <c r="E60" s="65" t="n">
        <v>0</v>
      </c>
      <c r="F60" s="65">
        <f>B60+C60+E60-D60</f>
        <v/>
      </c>
      <c r="G60" s="63">
        <f>D60*$B$6</f>
        <v/>
      </c>
      <c r="H60" s="63">
        <f>D60*$B$8</f>
        <v/>
      </c>
      <c r="I60" s="34" t="str"/>
    </row>
    <row r="61">
      <c r="A61" s="64" t="str"/>
      <c r="B61" s="65">
        <f>F60</f>
        <v/>
      </c>
      <c r="C61" s="65" t="n">
        <v>0</v>
      </c>
      <c r="D61" s="65" t="n">
        <v>0</v>
      </c>
      <c r="E61" s="65" t="n">
        <v>0</v>
      </c>
      <c r="F61" s="65">
        <f>B61+C61+E61-D61</f>
        <v/>
      </c>
      <c r="G61" s="63">
        <f>D61*$B$6</f>
        <v/>
      </c>
      <c r="H61" s="63">
        <f>D61*$B$8</f>
        <v/>
      </c>
      <c r="I61" s="34" t="str"/>
    </row>
    <row r="62">
      <c r="A62" s="64" t="str"/>
      <c r="B62" s="65">
        <f>F61</f>
        <v/>
      </c>
      <c r="C62" s="65" t="n">
        <v>0</v>
      </c>
      <c r="D62" s="65" t="n">
        <v>0</v>
      </c>
      <c r="E62" s="65" t="n">
        <v>0</v>
      </c>
      <c r="F62" s="65">
        <f>B62+C62+E62-D62</f>
        <v/>
      </c>
      <c r="G62" s="63">
        <f>D62*$B$6</f>
        <v/>
      </c>
      <c r="H62" s="63">
        <f>D62*$B$8</f>
        <v/>
      </c>
      <c r="I62" s="34" t="str"/>
    </row>
    <row r="63">
      <c r="A63" s="64" t="str"/>
      <c r="B63" s="65">
        <f>F62</f>
        <v/>
      </c>
      <c r="C63" s="65" t="n">
        <v>0</v>
      </c>
      <c r="D63" s="65" t="n">
        <v>0</v>
      </c>
      <c r="E63" s="65" t="n">
        <v>0</v>
      </c>
      <c r="F63" s="65">
        <f>B63+C63+E63-D63</f>
        <v/>
      </c>
      <c r="G63" s="63">
        <f>D63*$B$6</f>
        <v/>
      </c>
      <c r="H63" s="63">
        <f>D63*$B$8</f>
        <v/>
      </c>
      <c r="I63" s="34" t="str"/>
    </row>
    <row r="64">
      <c r="A64" s="64" t="str"/>
      <c r="B64" s="65">
        <f>F63</f>
        <v/>
      </c>
      <c r="C64" s="65" t="n">
        <v>0</v>
      </c>
      <c r="D64" s="65" t="n">
        <v>0</v>
      </c>
      <c r="E64" s="65" t="n">
        <v>0</v>
      </c>
      <c r="F64" s="65">
        <f>B64+C64+E64-D64</f>
        <v/>
      </c>
      <c r="G64" s="63">
        <f>D64*$B$6</f>
        <v/>
      </c>
      <c r="H64" s="63">
        <f>D64*$B$8</f>
        <v/>
      </c>
      <c r="I64" s="34" t="str"/>
    </row>
    <row r="65">
      <c r="A65" s="64" t="str"/>
      <c r="B65" s="65">
        <f>F64</f>
        <v/>
      </c>
      <c r="C65" s="65" t="n">
        <v>0</v>
      </c>
      <c r="D65" s="65" t="n">
        <v>0</v>
      </c>
      <c r="E65" s="65" t="n">
        <v>0</v>
      </c>
      <c r="F65" s="65">
        <f>B65+C65+E65-D65</f>
        <v/>
      </c>
      <c r="G65" s="63">
        <f>D65*$B$6</f>
        <v/>
      </c>
      <c r="H65" s="63">
        <f>D65*$B$8</f>
        <v/>
      </c>
      <c r="I65" s="34" t="str"/>
    </row>
    <row r="66">
      <c r="A66" s="64" t="str"/>
      <c r="B66" s="65">
        <f>F65</f>
        <v/>
      </c>
      <c r="C66" s="65" t="n">
        <v>0</v>
      </c>
      <c r="D66" s="65" t="n">
        <v>0</v>
      </c>
      <c r="E66" s="65" t="n">
        <v>0</v>
      </c>
      <c r="F66" s="65">
        <f>B66+C66+E66-D66</f>
        <v/>
      </c>
      <c r="G66" s="63">
        <f>D66*$B$6</f>
        <v/>
      </c>
      <c r="H66" s="63">
        <f>D66*$B$8</f>
        <v/>
      </c>
      <c r="I66" s="34" t="str"/>
    </row>
    <row r="67">
      <c r="A67" s="64" t="str"/>
      <c r="B67" s="65">
        <f>F66</f>
        <v/>
      </c>
      <c r="C67" s="65" t="n">
        <v>0</v>
      </c>
      <c r="D67" s="65" t="n">
        <v>0</v>
      </c>
      <c r="E67" s="65" t="n">
        <v>0</v>
      </c>
      <c r="F67" s="65">
        <f>B67+C67+E67-D67</f>
        <v/>
      </c>
      <c r="G67" s="63">
        <f>D67*$B$6</f>
        <v/>
      </c>
      <c r="H67" s="63">
        <f>D67*$B$8</f>
        <v/>
      </c>
      <c r="I67" s="34" t="str"/>
    </row>
    <row r="68">
      <c r="A68" s="64" t="str"/>
      <c r="B68" s="65">
        <f>F67</f>
        <v/>
      </c>
      <c r="C68" s="65" t="n">
        <v>0</v>
      </c>
      <c r="D68" s="65" t="n">
        <v>0</v>
      </c>
      <c r="E68" s="65" t="n">
        <v>0</v>
      </c>
      <c r="F68" s="65">
        <f>B68+C68+E68-D68</f>
        <v/>
      </c>
      <c r="G68" s="63">
        <f>D68*$B$6</f>
        <v/>
      </c>
      <c r="H68" s="63">
        <f>D68*$B$8</f>
        <v/>
      </c>
      <c r="I68" s="34" t="str"/>
    </row>
    <row r="69">
      <c r="A69" s="64" t="str"/>
      <c r="B69" s="65">
        <f>F68</f>
        <v/>
      </c>
      <c r="C69" s="65" t="n">
        <v>0</v>
      </c>
      <c r="D69" s="65" t="n">
        <v>0</v>
      </c>
      <c r="E69" s="65" t="n">
        <v>0</v>
      </c>
      <c r="F69" s="65">
        <f>B69+C69+E69-D69</f>
        <v/>
      </c>
      <c r="G69" s="63">
        <f>D69*$B$6</f>
        <v/>
      </c>
      <c r="H69" s="63">
        <f>D69*$B$8</f>
        <v/>
      </c>
      <c r="I69" s="34" t="str"/>
    </row>
    <row r="70">
      <c r="A70" s="64" t="str"/>
      <c r="B70" s="65">
        <f>F69</f>
        <v/>
      </c>
      <c r="C70" s="65" t="n">
        <v>0</v>
      </c>
      <c r="D70" s="65" t="n">
        <v>0</v>
      </c>
      <c r="E70" s="65" t="n">
        <v>0</v>
      </c>
      <c r="F70" s="65">
        <f>B70+C70+E70-D70</f>
        <v/>
      </c>
      <c r="G70" s="63">
        <f>D70*$B$6</f>
        <v/>
      </c>
      <c r="H70" s="63">
        <f>D70*$B$8</f>
        <v/>
      </c>
      <c r="I70" s="34" t="str"/>
    </row>
    <row r="71">
      <c r="A71" s="64" t="str"/>
      <c r="B71" s="65">
        <f>F70</f>
        <v/>
      </c>
      <c r="C71" s="65" t="n">
        <v>0</v>
      </c>
      <c r="D71" s="65" t="n">
        <v>0</v>
      </c>
      <c r="E71" s="65" t="n">
        <v>0</v>
      </c>
      <c r="F71" s="65">
        <f>B71+C71+E71-D71</f>
        <v/>
      </c>
      <c r="G71" s="63">
        <f>D71*$B$6</f>
        <v/>
      </c>
      <c r="H71" s="63">
        <f>D71*$B$8</f>
        <v/>
      </c>
      <c r="I71" s="34" t="str"/>
    </row>
    <row r="72">
      <c r="A72" s="64" t="str"/>
      <c r="B72" s="65">
        <f>F71</f>
        <v/>
      </c>
      <c r="C72" s="65" t="n">
        <v>0</v>
      </c>
      <c r="D72" s="65" t="n">
        <v>0</v>
      </c>
      <c r="E72" s="65" t="n">
        <v>0</v>
      </c>
      <c r="F72" s="65">
        <f>B72+C72+E72-D72</f>
        <v/>
      </c>
      <c r="G72" s="63">
        <f>D72*$B$6</f>
        <v/>
      </c>
      <c r="H72" s="63">
        <f>D72*$B$8</f>
        <v/>
      </c>
      <c r="I72" s="34" t="str"/>
    </row>
    <row r="73">
      <c r="A73" s="64" t="str"/>
      <c r="B73" s="65">
        <f>F72</f>
        <v/>
      </c>
      <c r="C73" s="65" t="n">
        <v>0</v>
      </c>
      <c r="D73" s="65" t="n">
        <v>0</v>
      </c>
      <c r="E73" s="65" t="n">
        <v>0</v>
      </c>
      <c r="F73" s="65">
        <f>B73+C73+E73-D73</f>
        <v/>
      </c>
      <c r="G73" s="63">
        <f>D73*$B$6</f>
        <v/>
      </c>
      <c r="H73" s="63">
        <f>D73*$B$8</f>
        <v/>
      </c>
      <c r="I73" s="34" t="str"/>
    </row>
    <row r="74">
      <c r="A74" s="64" t="str"/>
      <c r="B74" s="65">
        <f>F73</f>
        <v/>
      </c>
      <c r="C74" s="65" t="n">
        <v>0</v>
      </c>
      <c r="D74" s="65" t="n">
        <v>0</v>
      </c>
      <c r="E74" s="65" t="n">
        <v>0</v>
      </c>
      <c r="F74" s="65">
        <f>B74+C74+E74-D74</f>
        <v/>
      </c>
      <c r="G74" s="63">
        <f>D74*$B$6</f>
        <v/>
      </c>
      <c r="H74" s="63">
        <f>D74*$B$8</f>
        <v/>
      </c>
      <c r="I74" s="34" t="str"/>
    </row>
    <row r="75">
      <c r="A75" s="64" t="str"/>
      <c r="B75" s="65">
        <f>F74</f>
        <v/>
      </c>
      <c r="C75" s="65" t="n">
        <v>0</v>
      </c>
      <c r="D75" s="65" t="n">
        <v>0</v>
      </c>
      <c r="E75" s="65" t="n">
        <v>0</v>
      </c>
      <c r="F75" s="65">
        <f>B75+C75+E75-D75</f>
        <v/>
      </c>
      <c r="G75" s="63">
        <f>D75*$B$6</f>
        <v/>
      </c>
      <c r="H75" s="63">
        <f>D75*$B$8</f>
        <v/>
      </c>
      <c r="I75" s="34" t="str"/>
    </row>
    <row r="76">
      <c r="A76" s="64" t="str"/>
      <c r="B76" s="65">
        <f>F75</f>
        <v/>
      </c>
      <c r="C76" s="65" t="n">
        <v>0</v>
      </c>
      <c r="D76" s="65" t="n">
        <v>0</v>
      </c>
      <c r="E76" s="65" t="n">
        <v>0</v>
      </c>
      <c r="F76" s="65">
        <f>B76+C76+E76-D76</f>
        <v/>
      </c>
      <c r="G76" s="63">
        <f>D76*$B$6</f>
        <v/>
      </c>
      <c r="H76" s="63">
        <f>D76*$B$8</f>
        <v/>
      </c>
      <c r="I76" s="34" t="str"/>
    </row>
    <row r="77">
      <c r="A77" s="64" t="str"/>
      <c r="B77" s="65">
        <f>F76</f>
        <v/>
      </c>
      <c r="C77" s="65" t="n">
        <v>0</v>
      </c>
      <c r="D77" s="65" t="n">
        <v>0</v>
      </c>
      <c r="E77" s="65" t="n">
        <v>0</v>
      </c>
      <c r="F77" s="65">
        <f>B77+C77+E77-D77</f>
        <v/>
      </c>
      <c r="G77" s="63">
        <f>D77*$B$6</f>
        <v/>
      </c>
      <c r="H77" s="63">
        <f>D77*$B$8</f>
        <v/>
      </c>
      <c r="I77" s="34" t="str"/>
    </row>
    <row r="78">
      <c r="A78" s="64" t="str"/>
      <c r="B78" s="65">
        <f>F77</f>
        <v/>
      </c>
      <c r="C78" s="65" t="n">
        <v>0</v>
      </c>
      <c r="D78" s="65" t="n">
        <v>0</v>
      </c>
      <c r="E78" s="65" t="n">
        <v>0</v>
      </c>
      <c r="F78" s="65">
        <f>B78+C78+E78-D78</f>
        <v/>
      </c>
      <c r="G78" s="63">
        <f>D78*$B$6</f>
        <v/>
      </c>
      <c r="H78" s="63">
        <f>D78*$B$8</f>
        <v/>
      </c>
      <c r="I78" s="34" t="str"/>
    </row>
    <row r="79">
      <c r="A79" s="64" t="str"/>
      <c r="B79" s="65">
        <f>F78</f>
        <v/>
      </c>
      <c r="C79" s="65" t="n">
        <v>0</v>
      </c>
      <c r="D79" s="65" t="n">
        <v>0</v>
      </c>
      <c r="E79" s="65" t="n">
        <v>0</v>
      </c>
      <c r="F79" s="65">
        <f>B79+C79+E79-D79</f>
        <v/>
      </c>
      <c r="G79" s="63">
        <f>D79*$B$6</f>
        <v/>
      </c>
      <c r="H79" s="63">
        <f>D79*$B$8</f>
        <v/>
      </c>
      <c r="I79" s="34" t="str"/>
    </row>
    <row r="80">
      <c r="A80" s="64" t="str"/>
      <c r="B80" s="65">
        <f>F79</f>
        <v/>
      </c>
      <c r="C80" s="65" t="n">
        <v>0</v>
      </c>
      <c r="D80" s="65" t="n">
        <v>0</v>
      </c>
      <c r="E80" s="65" t="n">
        <v>0</v>
      </c>
      <c r="F80" s="65">
        <f>B80+C80+E80-D80</f>
        <v/>
      </c>
      <c r="G80" s="63">
        <f>D80*$B$6</f>
        <v/>
      </c>
      <c r="H80" s="63">
        <f>D80*$B$8</f>
        <v/>
      </c>
      <c r="I80" s="34" t="str"/>
    </row>
    <row r="81">
      <c r="A81" s="64" t="str"/>
      <c r="B81" s="65">
        <f>F80</f>
        <v/>
      </c>
      <c r="C81" s="65" t="n">
        <v>0</v>
      </c>
      <c r="D81" s="65" t="n">
        <v>0</v>
      </c>
      <c r="E81" s="65" t="n">
        <v>0</v>
      </c>
      <c r="F81" s="65">
        <f>B81+C81+E81-D81</f>
        <v/>
      </c>
      <c r="G81" s="63">
        <f>D81*$B$6</f>
        <v/>
      </c>
      <c r="H81" s="63">
        <f>D81*$B$8</f>
        <v/>
      </c>
      <c r="I81" s="34" t="str"/>
    </row>
    <row r="82">
      <c r="A82" s="64" t="str"/>
      <c r="B82" s="65">
        <f>F81</f>
        <v/>
      </c>
      <c r="C82" s="65" t="n">
        <v>0</v>
      </c>
      <c r="D82" s="65" t="n">
        <v>0</v>
      </c>
      <c r="E82" s="65" t="n">
        <v>0</v>
      </c>
      <c r="F82" s="65">
        <f>B82+C82+E82-D82</f>
        <v/>
      </c>
      <c r="G82" s="63">
        <f>D82*$B$6</f>
        <v/>
      </c>
      <c r="H82" s="63">
        <f>D82*$B$8</f>
        <v/>
      </c>
      <c r="I82" s="34" t="str"/>
    </row>
    <row r="83">
      <c r="A83" s="64" t="str"/>
      <c r="B83" s="65">
        <f>F82</f>
        <v/>
      </c>
      <c r="C83" s="65" t="n">
        <v>0</v>
      </c>
      <c r="D83" s="65" t="n">
        <v>0</v>
      </c>
      <c r="E83" s="65" t="n">
        <v>0</v>
      </c>
      <c r="F83" s="65">
        <f>B83+C83+E83-D83</f>
        <v/>
      </c>
      <c r="G83" s="63">
        <f>D83*$B$6</f>
        <v/>
      </c>
      <c r="H83" s="63">
        <f>D83*$B$8</f>
        <v/>
      </c>
      <c r="I83" s="34" t="str"/>
    </row>
    <row r="84">
      <c r="A84" s="64" t="str"/>
      <c r="B84" s="65">
        <f>F83</f>
        <v/>
      </c>
      <c r="C84" s="65" t="n">
        <v>0</v>
      </c>
      <c r="D84" s="65" t="n">
        <v>0</v>
      </c>
      <c r="E84" s="65" t="n">
        <v>0</v>
      </c>
      <c r="F84" s="65">
        <f>B84+C84+E84-D84</f>
        <v/>
      </c>
      <c r="G84" s="63">
        <f>D84*$B$6</f>
        <v/>
      </c>
      <c r="H84" s="63">
        <f>D84*$B$8</f>
        <v/>
      </c>
      <c r="I84" s="34" t="str"/>
    </row>
    <row r="85">
      <c r="A85" s="64" t="str"/>
      <c r="B85" s="65">
        <f>F84</f>
        <v/>
      </c>
      <c r="C85" s="65" t="n">
        <v>0</v>
      </c>
      <c r="D85" s="65" t="n">
        <v>0</v>
      </c>
      <c r="E85" s="65" t="n">
        <v>0</v>
      </c>
      <c r="F85" s="65">
        <f>B85+C85+E85-D85</f>
        <v/>
      </c>
      <c r="G85" s="63">
        <f>D85*$B$6</f>
        <v/>
      </c>
      <c r="H85" s="63">
        <f>D85*$B$8</f>
        <v/>
      </c>
      <c r="I85" s="34" t="str"/>
    </row>
    <row r="86">
      <c r="A86" s="64" t="str"/>
      <c r="B86" s="65">
        <f>F85</f>
        <v/>
      </c>
      <c r="C86" s="65" t="n">
        <v>0</v>
      </c>
      <c r="D86" s="65" t="n">
        <v>0</v>
      </c>
      <c r="E86" s="65" t="n">
        <v>0</v>
      </c>
      <c r="F86" s="65">
        <f>B86+C86+E86-D86</f>
        <v/>
      </c>
      <c r="G86" s="63">
        <f>D86*$B$6</f>
        <v/>
      </c>
      <c r="H86" s="63">
        <f>D86*$B$8</f>
        <v/>
      </c>
      <c r="I86" s="34" t="str"/>
    </row>
    <row r="87">
      <c r="A87" s="64" t="str"/>
      <c r="B87" s="65">
        <f>F86</f>
        <v/>
      </c>
      <c r="C87" s="65" t="n">
        <v>0</v>
      </c>
      <c r="D87" s="65" t="n">
        <v>0</v>
      </c>
      <c r="E87" s="65" t="n">
        <v>0</v>
      </c>
      <c r="F87" s="65">
        <f>B87+C87+E87-D87</f>
        <v/>
      </c>
      <c r="G87" s="63">
        <f>D87*$B$6</f>
        <v/>
      </c>
      <c r="H87" s="63">
        <f>D87*$B$8</f>
        <v/>
      </c>
      <c r="I87" s="34" t="str"/>
    </row>
    <row r="88">
      <c r="A88" s="64" t="str"/>
      <c r="B88" s="65">
        <f>F87</f>
        <v/>
      </c>
      <c r="C88" s="65" t="n">
        <v>0</v>
      </c>
      <c r="D88" s="65" t="n">
        <v>0</v>
      </c>
      <c r="E88" s="65" t="n">
        <v>0</v>
      </c>
      <c r="F88" s="65">
        <f>B88+C88+E88-D88</f>
        <v/>
      </c>
      <c r="G88" s="63">
        <f>D88*$B$6</f>
        <v/>
      </c>
      <c r="H88" s="63">
        <f>D88*$B$8</f>
        <v/>
      </c>
      <c r="I88" s="34" t="str"/>
    </row>
    <row r="89">
      <c r="A89" s="64" t="str"/>
      <c r="B89" s="65">
        <f>F88</f>
        <v/>
      </c>
      <c r="C89" s="65" t="n">
        <v>0</v>
      </c>
      <c r="D89" s="65" t="n">
        <v>0</v>
      </c>
      <c r="E89" s="65" t="n">
        <v>0</v>
      </c>
      <c r="F89" s="65">
        <f>B89+C89+E89-D89</f>
        <v/>
      </c>
      <c r="G89" s="63">
        <f>D89*$B$6</f>
        <v/>
      </c>
      <c r="H89" s="63">
        <f>D89*$B$8</f>
        <v/>
      </c>
      <c r="I89" s="34" t="str"/>
    </row>
    <row r="90">
      <c r="A90" s="64" t="str"/>
      <c r="B90" s="65">
        <f>F89</f>
        <v/>
      </c>
      <c r="C90" s="65" t="n">
        <v>0</v>
      </c>
      <c r="D90" s="65" t="n">
        <v>0</v>
      </c>
      <c r="E90" s="65" t="n">
        <v>0</v>
      </c>
      <c r="F90" s="65">
        <f>B90+C90+E90-D90</f>
        <v/>
      </c>
      <c r="G90" s="63">
        <f>D90*$B$6</f>
        <v/>
      </c>
      <c r="H90" s="63">
        <f>D90*$B$8</f>
        <v/>
      </c>
      <c r="I90" s="34" t="str"/>
    </row>
    <row r="91">
      <c r="A91" s="64" t="str"/>
      <c r="B91" s="65">
        <f>F90</f>
        <v/>
      </c>
      <c r="C91" s="65" t="n">
        <v>0</v>
      </c>
      <c r="D91" s="65" t="n">
        <v>0</v>
      </c>
      <c r="E91" s="65" t="n">
        <v>0</v>
      </c>
      <c r="F91" s="65">
        <f>B91+C91+E91-D91</f>
        <v/>
      </c>
      <c r="G91" s="63">
        <f>D91*$B$6</f>
        <v/>
      </c>
      <c r="H91" s="63">
        <f>D91*$B$8</f>
        <v/>
      </c>
      <c r="I91" s="34" t="str"/>
    </row>
    <row r="92">
      <c r="A92" s="64" t="str"/>
      <c r="B92" s="65">
        <f>F91</f>
        <v/>
      </c>
      <c r="C92" s="65" t="n">
        <v>0</v>
      </c>
      <c r="D92" s="65" t="n">
        <v>0</v>
      </c>
      <c r="E92" s="65" t="n">
        <v>0</v>
      </c>
      <c r="F92" s="65">
        <f>B92+C92+E92-D92</f>
        <v/>
      </c>
      <c r="G92" s="63">
        <f>D92*$B$6</f>
        <v/>
      </c>
      <c r="H92" s="63">
        <f>D92*$B$8</f>
        <v/>
      </c>
      <c r="I92" s="34" t="str"/>
    </row>
    <row r="93">
      <c r="A93" s="64" t="str"/>
      <c r="B93" s="65">
        <f>F92</f>
        <v/>
      </c>
      <c r="C93" s="65" t="n">
        <v>0</v>
      </c>
      <c r="D93" s="65" t="n">
        <v>0</v>
      </c>
      <c r="E93" s="65" t="n">
        <v>0</v>
      </c>
      <c r="F93" s="65">
        <f>B93+C93+E93-D93</f>
        <v/>
      </c>
      <c r="G93" s="63">
        <f>D93*$B$6</f>
        <v/>
      </c>
      <c r="H93" s="63">
        <f>D93*$B$8</f>
        <v/>
      </c>
      <c r="I93" s="34" t="str"/>
    </row>
    <row r="94">
      <c r="A94" s="64" t="str"/>
      <c r="B94" s="65">
        <f>F93</f>
        <v/>
      </c>
      <c r="C94" s="65" t="n">
        <v>0</v>
      </c>
      <c r="D94" s="65" t="n">
        <v>0</v>
      </c>
      <c r="E94" s="65" t="n">
        <v>0</v>
      </c>
      <c r="F94" s="65">
        <f>B94+C94+E94-D94</f>
        <v/>
      </c>
      <c r="G94" s="63">
        <f>D94*$B$6</f>
        <v/>
      </c>
      <c r="H94" s="63">
        <f>D94*$B$8</f>
        <v/>
      </c>
      <c r="I94" s="34" t="str"/>
    </row>
    <row r="95">
      <c r="A95" s="64" t="str"/>
      <c r="B95" s="65">
        <f>F94</f>
        <v/>
      </c>
      <c r="C95" s="65" t="n">
        <v>0</v>
      </c>
      <c r="D95" s="65" t="n">
        <v>0</v>
      </c>
      <c r="E95" s="65" t="n">
        <v>0</v>
      </c>
      <c r="F95" s="65">
        <f>B95+C95+E95-D95</f>
        <v/>
      </c>
      <c r="G95" s="63">
        <f>D95*$B$6</f>
        <v/>
      </c>
      <c r="H95" s="63">
        <f>D95*$B$8</f>
        <v/>
      </c>
      <c r="I95" s="34" t="str"/>
    </row>
    <row r="96">
      <c r="A96" s="64" t="str"/>
      <c r="B96" s="65">
        <f>F95</f>
        <v/>
      </c>
      <c r="C96" s="65" t="n">
        <v>0</v>
      </c>
      <c r="D96" s="65" t="n">
        <v>0</v>
      </c>
      <c r="E96" s="65" t="n">
        <v>0</v>
      </c>
      <c r="F96" s="65">
        <f>B96+C96+E96-D96</f>
        <v/>
      </c>
      <c r="G96" s="63">
        <f>D96*$B$6</f>
        <v/>
      </c>
      <c r="H96" s="63">
        <f>D96*$B$8</f>
        <v/>
      </c>
      <c r="I96" s="34" t="str"/>
    </row>
    <row r="97">
      <c r="A97" s="64" t="str"/>
      <c r="B97" s="65">
        <f>F96</f>
        <v/>
      </c>
      <c r="C97" s="65" t="n">
        <v>0</v>
      </c>
      <c r="D97" s="65" t="n">
        <v>0</v>
      </c>
      <c r="E97" s="65" t="n">
        <v>0</v>
      </c>
      <c r="F97" s="65">
        <f>B97+C97+E97-D97</f>
        <v/>
      </c>
      <c r="G97" s="63">
        <f>D97*$B$6</f>
        <v/>
      </c>
      <c r="H97" s="63">
        <f>D97*$B$8</f>
        <v/>
      </c>
      <c r="I97" s="34" t="str"/>
    </row>
    <row r="98">
      <c r="A98" s="64" t="str"/>
      <c r="B98" s="65">
        <f>F97</f>
        <v/>
      </c>
      <c r="C98" s="65" t="n">
        <v>0</v>
      </c>
      <c r="D98" s="65" t="n">
        <v>0</v>
      </c>
      <c r="E98" s="65" t="n">
        <v>0</v>
      </c>
      <c r="F98" s="65">
        <f>B98+C98+E98-D98</f>
        <v/>
      </c>
      <c r="G98" s="63">
        <f>D98*$B$6</f>
        <v/>
      </c>
      <c r="H98" s="63">
        <f>D98*$B$8</f>
        <v/>
      </c>
      <c r="I98" s="34" t="str"/>
    </row>
    <row r="99">
      <c r="A99" s="64" t="str"/>
      <c r="B99" s="65">
        <f>F98</f>
        <v/>
      </c>
      <c r="C99" s="65" t="n">
        <v>0</v>
      </c>
      <c r="D99" s="65" t="n">
        <v>0</v>
      </c>
      <c r="E99" s="65" t="n">
        <v>0</v>
      </c>
      <c r="F99" s="65">
        <f>B99+C99+E99-D99</f>
        <v/>
      </c>
      <c r="G99" s="63">
        <f>D99*$B$6</f>
        <v/>
      </c>
      <c r="H99" s="63">
        <f>D99*$B$8</f>
        <v/>
      </c>
      <c r="I99" s="34" t="str"/>
    </row>
    <row r="100">
      <c r="A100" s="64" t="str"/>
      <c r="B100" s="65">
        <f>F99</f>
        <v/>
      </c>
      <c r="C100" s="65" t="n">
        <v>0</v>
      </c>
      <c r="D100" s="65" t="n">
        <v>0</v>
      </c>
      <c r="E100" s="65" t="n">
        <v>0</v>
      </c>
      <c r="F100" s="65">
        <f>B100+C100+E100-D100</f>
        <v/>
      </c>
      <c r="G100" s="63">
        <f>D100*$B$6</f>
        <v/>
      </c>
      <c r="H100" s="63">
        <f>D100*$B$8</f>
        <v/>
      </c>
      <c r="I100" s="34" t="str"/>
    </row>
    <row r="101">
      <c r="A101" s="64" t="str"/>
      <c r="B101" s="65">
        <f>F100</f>
        <v/>
      </c>
      <c r="C101" s="65" t="n">
        <v>0</v>
      </c>
      <c r="D101" s="65" t="n">
        <v>0</v>
      </c>
      <c r="E101" s="65" t="n">
        <v>0</v>
      </c>
      <c r="F101" s="65">
        <f>B101+C101+E101-D101</f>
        <v/>
      </c>
      <c r="G101" s="63">
        <f>D101*$B$6</f>
        <v/>
      </c>
      <c r="H101" s="63">
        <f>D101*$B$8</f>
        <v/>
      </c>
      <c r="I101" s="34" t="str"/>
    </row>
    <row r="102">
      <c r="A102" s="64" t="str"/>
      <c r="B102" s="65">
        <f>F101</f>
        <v/>
      </c>
      <c r="C102" s="65" t="n">
        <v>0</v>
      </c>
      <c r="D102" s="65" t="n">
        <v>0</v>
      </c>
      <c r="E102" s="65" t="n">
        <v>0</v>
      </c>
      <c r="F102" s="65">
        <f>B102+C102+E102-D102</f>
        <v/>
      </c>
      <c r="G102" s="63">
        <f>D102*$B$6</f>
        <v/>
      </c>
      <c r="H102" s="63">
        <f>D102*$B$8</f>
        <v/>
      </c>
      <c r="I102" s="34" t="str"/>
    </row>
    <row r="103">
      <c r="A103" s="64" t="str"/>
      <c r="B103" s="65">
        <f>F102</f>
        <v/>
      </c>
      <c r="C103" s="65" t="n">
        <v>0</v>
      </c>
      <c r="D103" s="65" t="n">
        <v>0</v>
      </c>
      <c r="E103" s="65" t="n">
        <v>0</v>
      </c>
      <c r="F103" s="65">
        <f>B103+C103+E103-D103</f>
        <v/>
      </c>
      <c r="G103" s="63">
        <f>D103*$B$6</f>
        <v/>
      </c>
      <c r="H103" s="63">
        <f>D103*$B$8</f>
        <v/>
      </c>
      <c r="I103" s="34" t="str"/>
    </row>
    <row r="104">
      <c r="A104" s="64" t="str"/>
      <c r="B104" s="65">
        <f>F103</f>
        <v/>
      </c>
      <c r="C104" s="65" t="n">
        <v>0</v>
      </c>
      <c r="D104" s="65" t="n">
        <v>0</v>
      </c>
      <c r="E104" s="65" t="n">
        <v>0</v>
      </c>
      <c r="F104" s="65">
        <f>B104+C104+E104-D104</f>
        <v/>
      </c>
      <c r="G104" s="63">
        <f>D104*$B$6</f>
        <v/>
      </c>
      <c r="H104" s="63">
        <f>D104*$B$8</f>
        <v/>
      </c>
      <c r="I104" s="34" t="str"/>
    </row>
    <row r="105">
      <c r="A105" s="64" t="str"/>
      <c r="B105" s="65">
        <f>F104</f>
        <v/>
      </c>
      <c r="C105" s="65" t="n">
        <v>0</v>
      </c>
      <c r="D105" s="65" t="n">
        <v>0</v>
      </c>
      <c r="E105" s="65" t="n">
        <v>0</v>
      </c>
      <c r="F105" s="65">
        <f>B105+C105+E105-D105</f>
        <v/>
      </c>
      <c r="G105" s="63">
        <f>D105*$B$6</f>
        <v/>
      </c>
      <c r="H105" s="63">
        <f>D105*$B$8</f>
        <v/>
      </c>
      <c r="I105" s="34" t="str"/>
    </row>
    <row r="106">
      <c r="A106" s="64" t="str"/>
      <c r="B106" s="65">
        <f>F105</f>
        <v/>
      </c>
      <c r="C106" s="65" t="n">
        <v>0</v>
      </c>
      <c r="D106" s="65" t="n">
        <v>0</v>
      </c>
      <c r="E106" s="65" t="n">
        <v>0</v>
      </c>
      <c r="F106" s="65">
        <f>B106+C106+E106-D106</f>
        <v/>
      </c>
      <c r="G106" s="63">
        <f>D106*$B$6</f>
        <v/>
      </c>
      <c r="H106" s="63">
        <f>D106*$B$8</f>
        <v/>
      </c>
      <c r="I106" s="34" t="str"/>
    </row>
    <row r="107">
      <c r="A107" s="64" t="str"/>
      <c r="B107" s="65">
        <f>F106</f>
        <v/>
      </c>
      <c r="C107" s="65" t="n">
        <v>0</v>
      </c>
      <c r="D107" s="65" t="n">
        <v>0</v>
      </c>
      <c r="E107" s="65" t="n">
        <v>0</v>
      </c>
      <c r="F107" s="65">
        <f>B107+C107+E107-D107</f>
        <v/>
      </c>
      <c r="G107" s="63">
        <f>D107*$B$6</f>
        <v/>
      </c>
      <c r="H107" s="63">
        <f>D107*$B$8</f>
        <v/>
      </c>
      <c r="I107" s="34" t="str"/>
    </row>
    <row r="108">
      <c r="A108" s="64" t="str"/>
      <c r="B108" s="65">
        <f>F107</f>
        <v/>
      </c>
      <c r="C108" s="65" t="n">
        <v>0</v>
      </c>
      <c r="D108" s="65" t="n">
        <v>0</v>
      </c>
      <c r="E108" s="65" t="n">
        <v>0</v>
      </c>
      <c r="F108" s="65">
        <f>B108+C108+E108-D108</f>
        <v/>
      </c>
      <c r="G108" s="63">
        <f>D108*$B$6</f>
        <v/>
      </c>
      <c r="H108" s="63">
        <f>D108*$B$8</f>
        <v/>
      </c>
      <c r="I108" s="34" t="str"/>
    </row>
    <row r="109">
      <c r="A109" s="64" t="str"/>
      <c r="B109" s="65">
        <f>F108</f>
        <v/>
      </c>
      <c r="C109" s="65" t="n">
        <v>0</v>
      </c>
      <c r="D109" s="65" t="n">
        <v>0</v>
      </c>
      <c r="E109" s="65" t="n">
        <v>0</v>
      </c>
      <c r="F109" s="65">
        <f>B109+C109+E109-D109</f>
        <v/>
      </c>
      <c r="G109" s="63">
        <f>D109*$B$6</f>
        <v/>
      </c>
      <c r="H109" s="63">
        <f>D109*$B$8</f>
        <v/>
      </c>
      <c r="I109" s="34" t="str"/>
    </row>
    <row r="110">
      <c r="A110" s="64" t="str"/>
      <c r="B110" s="65">
        <f>F109</f>
        <v/>
      </c>
      <c r="C110" s="65" t="n">
        <v>0</v>
      </c>
      <c r="D110" s="65" t="n">
        <v>0</v>
      </c>
      <c r="E110" s="65" t="n">
        <v>0</v>
      </c>
      <c r="F110" s="65">
        <f>B110+C110+E110-D110</f>
        <v/>
      </c>
      <c r="G110" s="63">
        <f>D110*$B$6</f>
        <v/>
      </c>
      <c r="H110" s="63">
        <f>D110*$B$8</f>
        <v/>
      </c>
      <c r="I110" s="34" t="str"/>
    </row>
  </sheetData>
  <mergeCells count="1"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2026-06-01T02:44:35Z</dcterms:created>
  <dcterms:modified xmlns:dcterms="http://purl.org/dc/terms/" xmlns:xsi="http://www.w3.org/2001/XMLSchema-instance" xsi:type="dcterms:W3CDTF">2026-06-01T02:44:37Z</dcterms:modified>
</cp:coreProperties>
</file>