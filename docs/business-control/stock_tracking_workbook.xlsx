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07e336bc3b49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b097ea0b21478b"/>
    <x:sheet xmlns:r="http://schemas.openxmlformats.org/officeDocument/2006/relationships" name="01 Childrens Jackets Girls" sheetId="2" r:id="R4842aff777414901"/>
    <x:sheet xmlns:r="http://schemas.openxmlformats.org/officeDocument/2006/relationships" name="02 Childrens Jackets Boys" sheetId="3" r:id="R64eeb8cdaa34485d"/>
    <x:sheet xmlns:r="http://schemas.openxmlformats.org/officeDocument/2006/relationships" name="03 Toddler 2Piece Clothing Suit" sheetId="4" r:id="R78c94257670d45e8"/>
    <x:sheet xmlns:r="http://schemas.openxmlformats.org/officeDocument/2006/relationships" name="04 Childrens Lace Dresses" sheetId="5" r:id="R8bfb8159a2654d51"/>
    <x:sheet xmlns:r="http://schemas.openxmlformats.org/officeDocument/2006/relationships" name="05 Childrens Denim AnkleLength" sheetId="6" r:id="R43b0735f7f9546be"/>
    <x:sheet xmlns:r="http://schemas.openxmlformats.org/officeDocument/2006/relationships" name="06 Childrens Denim Casual Pants" sheetId="7" r:id="Ra82c396e62eb48e3"/>
    <x:sheet xmlns:r="http://schemas.openxmlformats.org/officeDocument/2006/relationships" name="07 Childrens Casual AnkleLength" sheetId="8" r:id="R0350f9890e984f6f"/>
    <x:sheet xmlns:r="http://schemas.openxmlformats.org/officeDocument/2006/relationships" name="08 Childrens Casual Cargo Trous" sheetId="9" r:id="Rcd72928c57ef477b"/>
    <x:sheet xmlns:r="http://schemas.openxmlformats.org/officeDocument/2006/relationships" name="09 Childrens Long Short Sleeve" sheetId="10" r:id="R219ce95fbfb14d83"/>
    <x:sheet xmlns:r="http://schemas.openxmlformats.org/officeDocument/2006/relationships" name="10 Childrens 2Piece TShirt Shor" sheetId="11" r:id="Rb853904986584d92"/>
    <x:sheet xmlns:r="http://schemas.openxmlformats.org/officeDocument/2006/relationships" name="11 Ladies Woven Sweaters" sheetId="12" r:id="R4646fb3e9e904f48"/>
    <x:sheet xmlns:r="http://schemas.openxmlformats.org/officeDocument/2006/relationships" name="12 Ladies Denim Dresses" sheetId="13" r:id="R9cae079e05344c8e"/>
    <x:sheet xmlns:r="http://schemas.openxmlformats.org/officeDocument/2006/relationships" name="13 Mens Woven Sweaters Style 19" sheetId="14" r:id="R22a4788293af4f30"/>
    <x:sheet xmlns:r="http://schemas.openxmlformats.org/officeDocument/2006/relationships" name="14 Mens Woven Sweaters Style 81" sheetId="15" r:id="R3866111df6de4b35"/>
    <x:sheet xmlns:r="http://schemas.openxmlformats.org/officeDocument/2006/relationships" name="15 Commercial Stationery Writin" sheetId="16" r:id="R073ba9a8817244b4"/>
    <x:sheet xmlns:r="http://schemas.openxmlformats.org/officeDocument/2006/relationships" name="16 Ladies Fashion Dresses" sheetId="17" r:id="R5b8a309242a046f8"/>
    <x:sheet xmlns:r="http://schemas.openxmlformats.org/officeDocument/2006/relationships" name="17 Ladies Long Dresses" sheetId="18" r:id="R75391b306aaa4807"/>
    <x:sheet xmlns:r="http://schemas.openxmlformats.org/officeDocument/2006/relationships" name="18 Ladies Black Dresses" sheetId="19" r:id="R24d0a0733d834541"/>
    <x:sheet xmlns:r="http://schemas.openxmlformats.org/officeDocument/2006/relationships" name="19 Ladies 2Piece Suits Brown" sheetId="20" r:id="R09808324d72c4198"/>
    <x:sheet xmlns:r="http://schemas.openxmlformats.org/officeDocument/2006/relationships" name="20 Fashion Jackets Maroon" sheetId="21" r:id="Rd5718069a0ca41dc"/>
    <x:sheet xmlns:r="http://schemas.openxmlformats.org/officeDocument/2006/relationships" name="21 Fashion Jackets Blue" sheetId="22" r:id="Ra4cde761cc5b4d1c"/>
    <x:sheet xmlns:r="http://schemas.openxmlformats.org/officeDocument/2006/relationships" name="22 Ladies Knitted Scarves Style" sheetId="23" r:id="Rafd601e7619245f9"/>
    <x:sheet xmlns:r="http://schemas.openxmlformats.org/officeDocument/2006/relationships" name="23 Ladies Woven Ponchos Shawls" sheetId="24" r:id="R53e8d11ee5444a6b"/>
    <x:sheet xmlns:r="http://schemas.openxmlformats.org/officeDocument/2006/relationships" name="24 Ladies Textile Head Wraps" sheetId="25" r:id="R784876b092cc48cb"/>
    <x:sheet xmlns:r="http://schemas.openxmlformats.org/officeDocument/2006/relationships" name="25 Ladies Sleeveless Ponchos Ca" sheetId="26" r:id="R5d4348dc81164f18"/>
    <x:sheet xmlns:r="http://schemas.openxmlformats.org/officeDocument/2006/relationships" name="26 Ladies Lightweight Scarves S" sheetId="27" r:id="Rf5762352f8c04bec"/>
    <x:sheet xmlns:r="http://schemas.openxmlformats.org/officeDocument/2006/relationships" name="27 Ladies Fashion Dresses Green" sheetId="28" r:id="R446de55b49db4264"/>
    <x:sheet xmlns:r="http://schemas.openxmlformats.org/officeDocument/2006/relationships" name="28 Ladies Denim Dresses" sheetId="29" r:id="Red4547aaba504bea"/>
    <x:sheet xmlns:r="http://schemas.openxmlformats.org/officeDocument/2006/relationships" name="29 Ladies Small Pouch Bags" sheetId="30" r:id="R998a9a111e7a4def"/>
    <x:sheet xmlns:r="http://schemas.openxmlformats.org/officeDocument/2006/relationships" name="30 Casual Sports Shoes Takkies" sheetId="31" r:id="R13f8816ee37944e3"/>
    <x:sheet xmlns:r="http://schemas.openxmlformats.org/officeDocument/2006/relationships" name="31 Smart Audio Eyewear Bluetoot" sheetId="32" r:id="R55859aafda36414c"/>
    <x:sheet xmlns:r="http://schemas.openxmlformats.org/officeDocument/2006/relationships" name="32 DualFunction USB Wall Power" sheetId="33" r:id="Rc01b571509f641c0"/>
    <x:sheet xmlns:r="http://schemas.openxmlformats.org/officeDocument/2006/relationships" name="33 Ladies Fashion TShirts Type" sheetId="34" r:id="R3f99dc113de1493b"/>
    <x:sheet xmlns:r="http://schemas.openxmlformats.org/officeDocument/2006/relationships" name="34 Ladies Fashion TShirts Type" sheetId="35" r:id="R58bf166e201042d4"/>
    <x:sheet xmlns:r="http://schemas.openxmlformats.org/officeDocument/2006/relationships" name="35 Ladies Fashion Cargo Dresses" sheetId="36" r:id="R080dbb567ab34763"/>
    <x:sheet xmlns:r="http://schemas.openxmlformats.org/officeDocument/2006/relationships" name="36 Ladies Fashion Cargo Dresses" sheetId="37" r:id="R08ef4968c6a749b1"/>
    <x:sheet xmlns:r="http://schemas.openxmlformats.org/officeDocument/2006/relationships" name="37 Knitted Sweaters" sheetId="38" r:id="R0ebe15f6871546cc"/>
    <x:sheet xmlns:r="http://schemas.openxmlformats.org/officeDocument/2006/relationships" name="38 Mens Fashion TShirts" sheetId="39" r:id="Rdd902d6d809c4701"/>
    <x:sheet xmlns:r="http://schemas.openxmlformats.org/officeDocument/2006/relationships" name="39 Ladies Fashion Skirts" sheetId="40" r:id="Rc9d8f758494343c3"/>
    <x:sheet xmlns:r="http://schemas.openxmlformats.org/officeDocument/2006/relationships" name="40 HighSpeed USB Data Cables" sheetId="41" r:id="R9fec04e1307643b6"/>
    <x:sheet xmlns:r="http://schemas.openxmlformats.org/officeDocument/2006/relationships" name="41 Childrens Fashion Dresses Ye" sheetId="42" r:id="R01e88bfc21504004"/>
    <x:sheet xmlns:r="http://schemas.openxmlformats.org/officeDocument/2006/relationships" name="42 Ladies Straight Dresses Long" sheetId="43" r:id="R465f8d04c6044fc8"/>
    <x:sheet xmlns:r="http://schemas.openxmlformats.org/officeDocument/2006/relationships" name="43 Ladies Straight Dresses Shor" sheetId="44" r:id="R3b39de5f987c48db"/>
    <x:sheet xmlns:r="http://schemas.openxmlformats.org/officeDocument/2006/relationships" name="44 Ladies Colorful Long Dresses" sheetId="45" r:id="R305a496258d24b45"/>
    <x:sheet xmlns:r="http://schemas.openxmlformats.org/officeDocument/2006/relationships" name="45 Ladies Colorful Long Dresses" sheetId="46" r:id="Rde4ce3d5ed8b4501"/>
    <x:sheet xmlns:r="http://schemas.openxmlformats.org/officeDocument/2006/relationships" name="46 Generic Perfumes Fragrances" sheetId="47" r:id="Ra07f0e002e4f4fee"/>
    <x:sheet xmlns:r="http://schemas.openxmlformats.org/officeDocument/2006/relationships" name="47 Ladies Fashion Cargo Dresses" sheetId="48" r:id="R385583b354664125"/>
    <x:sheet xmlns:r="http://schemas.openxmlformats.org/officeDocument/2006/relationships" name="48 Ladies Fashion Cargo Dresses" sheetId="49" r:id="Re35905b92ed8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AF3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3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1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827ef1dd0451e" /><Relationship Type="http://schemas.openxmlformats.org/officeDocument/2006/relationships/theme" Target="/xl/theme/theme1.xml" Id="Reef9017763d742cf" /><Relationship Type="http://schemas.openxmlformats.org/officeDocument/2006/relationships/sharedStrings" Target="/xl/sharedStrings.xml" Id="R1fa88b15bf36452b" /><Relationship Type="http://schemas.openxmlformats.org/officeDocument/2006/relationships/worksheet" Target="/xl/worksheets/sheet1.xml" Id="R93b097ea0b21478b" /><Relationship Type="http://schemas.openxmlformats.org/officeDocument/2006/relationships/worksheet" Target="/xl/worksheets/sheet2.xml" Id="R4842aff777414901" /><Relationship Type="http://schemas.openxmlformats.org/officeDocument/2006/relationships/worksheet" Target="/xl/worksheets/sheet3.xml" Id="R64eeb8cdaa34485d" /><Relationship Type="http://schemas.openxmlformats.org/officeDocument/2006/relationships/worksheet" Target="/xl/worksheets/sheet4.xml" Id="R78c94257670d45e8" /><Relationship Type="http://schemas.openxmlformats.org/officeDocument/2006/relationships/worksheet" Target="/xl/worksheets/sheet5.xml" Id="R8bfb8159a2654d51" /><Relationship Type="http://schemas.openxmlformats.org/officeDocument/2006/relationships/worksheet" Target="/xl/worksheets/sheet6.xml" Id="R43b0735f7f9546be" /><Relationship Type="http://schemas.openxmlformats.org/officeDocument/2006/relationships/worksheet" Target="/xl/worksheets/sheet7.xml" Id="Ra82c396e62eb48e3" /><Relationship Type="http://schemas.openxmlformats.org/officeDocument/2006/relationships/worksheet" Target="/xl/worksheets/sheet8.xml" Id="R0350f9890e984f6f" /><Relationship Type="http://schemas.openxmlformats.org/officeDocument/2006/relationships/worksheet" Target="/xl/worksheets/sheet9.xml" Id="Rcd72928c57ef477b" /><Relationship Type="http://schemas.openxmlformats.org/officeDocument/2006/relationships/worksheet" Target="/xl/worksheets/sheet10.xml" Id="R219ce95fbfb14d83" /><Relationship Type="http://schemas.openxmlformats.org/officeDocument/2006/relationships/worksheet" Target="/xl/worksheets/sheet11.xml" Id="Rb853904986584d92" /><Relationship Type="http://schemas.openxmlformats.org/officeDocument/2006/relationships/worksheet" Target="/xl/worksheets/sheet12.xml" Id="R4646fb3e9e904f48" /><Relationship Type="http://schemas.openxmlformats.org/officeDocument/2006/relationships/worksheet" Target="/xl/worksheets/sheet13.xml" Id="R9cae079e05344c8e" /><Relationship Type="http://schemas.openxmlformats.org/officeDocument/2006/relationships/worksheet" Target="/xl/worksheets/sheet14.xml" Id="R22a4788293af4f30" /><Relationship Type="http://schemas.openxmlformats.org/officeDocument/2006/relationships/worksheet" Target="/xl/worksheets/sheet15.xml" Id="R3866111df6de4b35" /><Relationship Type="http://schemas.openxmlformats.org/officeDocument/2006/relationships/worksheet" Target="/xl/worksheets/sheet16.xml" Id="R073ba9a8817244b4" /><Relationship Type="http://schemas.openxmlformats.org/officeDocument/2006/relationships/worksheet" Target="/xl/worksheets/sheet17.xml" Id="R5b8a309242a046f8" /><Relationship Type="http://schemas.openxmlformats.org/officeDocument/2006/relationships/worksheet" Target="/xl/worksheets/sheet18.xml" Id="R75391b306aaa4807" /><Relationship Type="http://schemas.openxmlformats.org/officeDocument/2006/relationships/worksheet" Target="/xl/worksheets/sheet19.xml" Id="R24d0a0733d834541" /><Relationship Type="http://schemas.openxmlformats.org/officeDocument/2006/relationships/worksheet" Target="/xl/worksheets/sheet20.xml" Id="R09808324d72c4198" /><Relationship Type="http://schemas.openxmlformats.org/officeDocument/2006/relationships/worksheet" Target="/xl/worksheets/sheet21.xml" Id="Rd5718069a0ca41dc" /><Relationship Type="http://schemas.openxmlformats.org/officeDocument/2006/relationships/worksheet" Target="/xl/worksheets/sheet22.xml" Id="Ra4cde761cc5b4d1c" /><Relationship Type="http://schemas.openxmlformats.org/officeDocument/2006/relationships/worksheet" Target="/xl/worksheets/sheet23.xml" Id="Rafd601e7619245f9" /><Relationship Type="http://schemas.openxmlformats.org/officeDocument/2006/relationships/worksheet" Target="/xl/worksheets/sheet24.xml" Id="R53e8d11ee5444a6b" /><Relationship Type="http://schemas.openxmlformats.org/officeDocument/2006/relationships/worksheet" Target="/xl/worksheets/sheet25.xml" Id="R784876b092cc48cb" /><Relationship Type="http://schemas.openxmlformats.org/officeDocument/2006/relationships/worksheet" Target="/xl/worksheets/sheet26.xml" Id="R5d4348dc81164f18" /><Relationship Type="http://schemas.openxmlformats.org/officeDocument/2006/relationships/worksheet" Target="/xl/worksheets/sheet27.xml" Id="Rf5762352f8c04bec" /><Relationship Type="http://schemas.openxmlformats.org/officeDocument/2006/relationships/worksheet" Target="/xl/worksheets/sheet28.xml" Id="R446de55b49db4264" /><Relationship Type="http://schemas.openxmlformats.org/officeDocument/2006/relationships/worksheet" Target="/xl/worksheets/sheet29.xml" Id="Red4547aaba504bea" /><Relationship Type="http://schemas.openxmlformats.org/officeDocument/2006/relationships/worksheet" Target="/xl/worksheets/sheet30.xml" Id="R998a9a111e7a4def" /><Relationship Type="http://schemas.openxmlformats.org/officeDocument/2006/relationships/worksheet" Target="/xl/worksheets/sheet31.xml" Id="R13f8816ee37944e3" /><Relationship Type="http://schemas.openxmlformats.org/officeDocument/2006/relationships/worksheet" Target="/xl/worksheets/sheet32.xml" Id="R55859aafda36414c" /><Relationship Type="http://schemas.openxmlformats.org/officeDocument/2006/relationships/worksheet" Target="/xl/worksheets/sheet33.xml" Id="Rc01b571509f641c0" /><Relationship Type="http://schemas.openxmlformats.org/officeDocument/2006/relationships/worksheet" Target="/xl/worksheets/sheet34.xml" Id="R3f99dc113de1493b" /><Relationship Type="http://schemas.openxmlformats.org/officeDocument/2006/relationships/worksheet" Target="/xl/worksheets/sheet35.xml" Id="R58bf166e201042d4" /><Relationship Type="http://schemas.openxmlformats.org/officeDocument/2006/relationships/worksheet" Target="/xl/worksheets/sheet36.xml" Id="R080dbb567ab34763" /><Relationship Type="http://schemas.openxmlformats.org/officeDocument/2006/relationships/worksheet" Target="/xl/worksheets/sheet37.xml" Id="R08ef4968c6a749b1" /><Relationship Type="http://schemas.openxmlformats.org/officeDocument/2006/relationships/worksheet" Target="/xl/worksheets/sheet38.xml" Id="R0ebe15f6871546cc" /><Relationship Type="http://schemas.openxmlformats.org/officeDocument/2006/relationships/worksheet" Target="/xl/worksheets/sheet39.xml" Id="Rdd902d6d809c4701" /><Relationship Type="http://schemas.openxmlformats.org/officeDocument/2006/relationships/worksheet" Target="/xl/worksheets/sheet40.xml" Id="Rc9d8f758494343c3" /><Relationship Type="http://schemas.openxmlformats.org/officeDocument/2006/relationships/worksheet" Target="/xl/worksheets/sheet41.xml" Id="R9fec04e1307643b6" /><Relationship Type="http://schemas.openxmlformats.org/officeDocument/2006/relationships/worksheet" Target="/xl/worksheets/sheet42.xml" Id="R01e88bfc21504004" /><Relationship Type="http://schemas.openxmlformats.org/officeDocument/2006/relationships/worksheet" Target="/xl/worksheets/sheet43.xml" Id="R465f8d04c6044fc8" /><Relationship Type="http://schemas.openxmlformats.org/officeDocument/2006/relationships/worksheet" Target="/xl/worksheets/sheet44.xml" Id="R3b39de5f987c48db" /><Relationship Type="http://schemas.openxmlformats.org/officeDocument/2006/relationships/worksheet" Target="/xl/worksheets/sheet45.xml" Id="R305a496258d24b45" /><Relationship Type="http://schemas.openxmlformats.org/officeDocument/2006/relationships/worksheet" Target="/xl/worksheets/sheet46.xml" Id="Rde4ce3d5ed8b4501" /><Relationship Type="http://schemas.openxmlformats.org/officeDocument/2006/relationships/worksheet" Target="/xl/worksheets/sheet47.xml" Id="Ra07f0e002e4f4fee" /><Relationship Type="http://schemas.openxmlformats.org/officeDocument/2006/relationships/worksheet" Target="/xl/worksheets/sheet48.xml" Id="R385583b354664125" /><Relationship Type="http://schemas.openxmlformats.org/officeDocument/2006/relationships/worksheet" Target="/xl/worksheets/sheet49.xml" Id="Re35905b92ed8436f" /></Relationships>
</file>

<file path=xl/tables/table1.xml><?xml version="1.0" encoding="utf-8"?>
<x:table xmlns:x="http://schemas.openxmlformats.org/spreadsheetml/2006/main" id="1" name="StockSummaryTable" displayName="StockSummaryTable" ref="A1:J50" headerRowCount="1">
  <x:tableColumns count="10">
    <x:tableColumn id="1" name="NO."/>
    <x:tableColumn id="2" name="Product name"/>
    <x:tableColumn id="3" name="Initial stock"/>
    <x:tableColumn id="4" name="Unit cost (RMB)"/>
    <x:tableColumn id="5" name="Selling price/item (RMB)"/>
    <x:tableColumn id="6" name="Unit cost (USD)"/>
    <x:tableColumn id="7" name="Selling price/item (USD)"/>
    <x:tableColumn id="8" name="Total cost (RMB)"/>
    <x:tableColumn id="9" name="Expected revenue (RMB)"/>
    <x:tableColumn id="10" name="Expected gross profit (RMB)"/>
  </x:tableColumns>
  <x:tableStyleInfo name="TableStyleMedium2" showRowStripes="1"/>
</x:table>
</file>

<file path=xl/tables/table2.xml><?xml version="1.0" encoding="utf-8"?>
<x:table xmlns:x="http://schemas.openxmlformats.org/spreadsheetml/2006/main" id="2" name="T01StockLog" displayName="T01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T02StockLog" displayName="T02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03StockLog" displayName="T03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04StockLog" displayName="T04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05StockLog" displayName="T05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06StockLog" displayName="T06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07StockLog" displayName="T07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T08StockLog" displayName="T08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T09StockLog" displayName="T09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T10StockLog" displayName="T10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T11StockLog" displayName="T11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T12StockLog" displayName="T12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T13StockLog" displayName="T13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T14StockLog" displayName="T14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T15StockLog" displayName="T15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T16StockLog" displayName="T16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T17StockLog" displayName="T17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T18StockLog" displayName="T18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T19StockLog" displayName="T19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T20StockLog" displayName="T20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2.xml><?xml version="1.0" encoding="utf-8"?>
<x:table xmlns:x="http://schemas.openxmlformats.org/spreadsheetml/2006/main" id="22" name="T21StockLog" displayName="T21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T22StockLog" displayName="T22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T23StockLog" displayName="T23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5.xml><?xml version="1.0" encoding="utf-8"?>
<x:table xmlns:x="http://schemas.openxmlformats.org/spreadsheetml/2006/main" id="25" name="T24StockLog" displayName="T24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6.xml><?xml version="1.0" encoding="utf-8"?>
<x:table xmlns:x="http://schemas.openxmlformats.org/spreadsheetml/2006/main" id="26" name="T25StockLog" displayName="T25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7.xml><?xml version="1.0" encoding="utf-8"?>
<x:table xmlns:x="http://schemas.openxmlformats.org/spreadsheetml/2006/main" id="27" name="T26StockLog" displayName="T26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8.xml><?xml version="1.0" encoding="utf-8"?>
<x:table xmlns:x="http://schemas.openxmlformats.org/spreadsheetml/2006/main" id="28" name="T27StockLog" displayName="T27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29.xml><?xml version="1.0" encoding="utf-8"?>
<x:table xmlns:x="http://schemas.openxmlformats.org/spreadsheetml/2006/main" id="29" name="T28StockLog" displayName="T28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0.xml><?xml version="1.0" encoding="utf-8"?>
<x:table xmlns:x="http://schemas.openxmlformats.org/spreadsheetml/2006/main" id="30" name="T29StockLog" displayName="T29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1.xml><?xml version="1.0" encoding="utf-8"?>
<x:table xmlns:x="http://schemas.openxmlformats.org/spreadsheetml/2006/main" id="31" name="T30StockLog" displayName="T30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2.xml><?xml version="1.0" encoding="utf-8"?>
<x:table xmlns:x="http://schemas.openxmlformats.org/spreadsheetml/2006/main" id="32" name="T31StockLog" displayName="T31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3.xml><?xml version="1.0" encoding="utf-8"?>
<x:table xmlns:x="http://schemas.openxmlformats.org/spreadsheetml/2006/main" id="33" name="T32StockLog" displayName="T32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4.xml><?xml version="1.0" encoding="utf-8"?>
<x:table xmlns:x="http://schemas.openxmlformats.org/spreadsheetml/2006/main" id="34" name="T33StockLog" displayName="T33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5.xml><?xml version="1.0" encoding="utf-8"?>
<x:table xmlns:x="http://schemas.openxmlformats.org/spreadsheetml/2006/main" id="35" name="T34StockLog" displayName="T34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6.xml><?xml version="1.0" encoding="utf-8"?>
<x:table xmlns:x="http://schemas.openxmlformats.org/spreadsheetml/2006/main" id="36" name="T35StockLog" displayName="T35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7.xml><?xml version="1.0" encoding="utf-8"?>
<x:table xmlns:x="http://schemas.openxmlformats.org/spreadsheetml/2006/main" id="37" name="T36StockLog" displayName="T36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8.xml><?xml version="1.0" encoding="utf-8"?>
<x:table xmlns:x="http://schemas.openxmlformats.org/spreadsheetml/2006/main" id="38" name="T37StockLog" displayName="T37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39.xml><?xml version="1.0" encoding="utf-8"?>
<x:table xmlns:x="http://schemas.openxmlformats.org/spreadsheetml/2006/main" id="39" name="T38StockLog" displayName="T38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0.xml><?xml version="1.0" encoding="utf-8"?>
<x:table xmlns:x="http://schemas.openxmlformats.org/spreadsheetml/2006/main" id="40" name="T39StockLog" displayName="T39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1.xml><?xml version="1.0" encoding="utf-8"?>
<x:table xmlns:x="http://schemas.openxmlformats.org/spreadsheetml/2006/main" id="41" name="T40StockLog" displayName="T40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2.xml><?xml version="1.0" encoding="utf-8"?>
<x:table xmlns:x="http://schemas.openxmlformats.org/spreadsheetml/2006/main" id="42" name="T41StockLog" displayName="T41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3.xml><?xml version="1.0" encoding="utf-8"?>
<x:table xmlns:x="http://schemas.openxmlformats.org/spreadsheetml/2006/main" id="43" name="T42StockLog" displayName="T42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4.xml><?xml version="1.0" encoding="utf-8"?>
<x:table xmlns:x="http://schemas.openxmlformats.org/spreadsheetml/2006/main" id="44" name="T43StockLog" displayName="T43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5.xml><?xml version="1.0" encoding="utf-8"?>
<x:table xmlns:x="http://schemas.openxmlformats.org/spreadsheetml/2006/main" id="45" name="T44StockLog" displayName="T44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6.xml><?xml version="1.0" encoding="utf-8"?>
<x:table xmlns:x="http://schemas.openxmlformats.org/spreadsheetml/2006/main" id="46" name="T45StockLog" displayName="T45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7.xml><?xml version="1.0" encoding="utf-8"?>
<x:table xmlns:x="http://schemas.openxmlformats.org/spreadsheetml/2006/main" id="47" name="T46StockLog" displayName="T46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8.xml><?xml version="1.0" encoding="utf-8"?>
<x:table xmlns:x="http://schemas.openxmlformats.org/spreadsheetml/2006/main" id="48" name="T47StockLog" displayName="T47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ables/table49.xml><?xml version="1.0" encoding="utf-8"?>
<x:table xmlns:x="http://schemas.openxmlformats.org/spreadsheetml/2006/main" id="49" name="T48StockLog" displayName="T48StockLog" ref="A10:I110" headerRowCount="1">
  <x:tableColumns count="9">
    <x:tableColumn id="1" name="Date"/>
    <x:tableColumn id="2" name="Opening balance"/>
    <x:tableColumn id="3" name="Stock received"/>
    <x:tableColumn id="4" name="Quantity sold"/>
    <x:tableColumn id="5" name="Returns"/>
    <x:tableColumn id="6" name="Closing balance"/>
    <x:tableColumn id="7" name="Sales value (RMB)"/>
    <x:tableColumn id="8" name="Sales value (USD)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24643445348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ab24827cba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f01908b57e4e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9783dce3df47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c88cf6f49ca43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2d0aedf57143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c8824725df74f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0db0fa1f0149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65e829766ee4bc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ae9a662d58640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403d4792bbc4e2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763d681d8a04d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fbc5f3265504b0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687df12acf34ac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fe9189eca214ea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828efd11983d422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b79535dbb580471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c7c7e8f608e416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36d2cd7a5844b7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adf38377c9d458e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46750bcc25f449cf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2d903111f8e845d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257c16dff9ae41d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94fe4a43a2c4a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b5a0cb4afce488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438d8d5d0cd545d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d9c222a6345f4b5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c65aa17ec36f45b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4060e2790ffc4d6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0e81650fc56c4ce0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1617e2d42149452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bf701e0711534cc7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ac78b4712e5b421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a9532548045640d0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49b1a8064693410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164a28c09b9346f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ad59b43871e44a1b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41b50994b984498d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ca87811ffda849e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78fb8e9bd1634573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d8bc8548729444b5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cc2910b1a67546f9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1306a7d457c8429f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9c21c040b3664f3d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45b3747770fd4995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0c002117f0aa4b60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109c4b0a7fb94559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49e4306bbb85410b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7a4760bba1d741c9" /></Relationships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8" hidden="0" customWidth="1"/>
    <x:col min="3" max="3" width="9.289999961853027" hidden="0" customWidth="1"/>
    <x:col min="4" max="4" width="12.789999961853027" hidden="0" customWidth="1"/>
    <x:col min="5" max="5" width="20.049999237060547" hidden="0" customWidth="1"/>
    <x:col min="6" max="6" width="12.380000114440918" hidden="0" customWidth="1"/>
    <x:col min="7" max="7" width="19.520000457763672" hidden="0" customWidth="1"/>
    <x:col min="8" max="8" width="13.319999694824219" hidden="0" customWidth="1"/>
    <x:col min="9" max="9" width="20.190000534057617" hidden="0" customWidth="1"/>
    <x:col min="10" max="10" width="22.75" hidden="0" customWidth="1"/>
  </x:cols>
  <x:sheetData>
    <x:row r="1">
      <x:c r="A1" s="6" t="str">
        <x:v>NO.</x:v>
      </x:c>
      <x:c r="B1" s="6" t="str">
        <x:v>Product name</x:v>
      </x:c>
      <x:c r="C1" s="6" t="str">
        <x:v>Initial stock</x:v>
      </x:c>
      <x:c r="D1" s="6" t="str">
        <x:v>Unit cost (RMB)</x:v>
      </x:c>
      <x:c r="E1" s="6" t="str">
        <x:v>Selling price/item (RMB)</x:v>
      </x:c>
      <x:c r="F1" s="6" t="str">
        <x:v>Unit cost (USD)</x:v>
      </x:c>
      <x:c r="G1" s="6" t="str">
        <x:v>Selling price/item (USD)</x:v>
      </x:c>
      <x:c r="H1" s="6" t="str">
        <x:v>Total cost (RMB)</x:v>
      </x:c>
      <x:c r="I1" s="6" t="str">
        <x:v>Expected revenue (RMB)</x:v>
      </x:c>
      <x:c r="J1" s="6" t="str">
        <x:v>Expected gross profit (RMB)</x:v>
      </x:c>
    </x:row>
    <x:row r="2">
      <x:c r="A2" t="n">
        <x:v>1</x:v>
      </x:c>
      <x:c r="B2" t="str">
        <x:v>Children's Jackets (Girls)</x:v>
      </x:c>
      <x:c r="C2" s="22" t="n">
        <x:v>10</x:v>
      </x:c>
      <x:c r="D2" s="18" t="n">
        <x:v>55</x:v>
      </x:c>
      <x:c r="E2" s="18" t="n">
        <x:v>110</x:v>
      </x:c>
      <x:c r="F2" s="18" t="n">
        <x:v>8.13</x:v>
      </x:c>
      <x:c r="G2" s="18" t="n">
        <x:v>16.26</x:v>
      </x:c>
      <x:c r="H2" s="18" t="n">
        <x:v>550</x:v>
      </x:c>
      <x:c r="I2" s="18" t="n">
        <x:v>1100</x:v>
      </x:c>
      <x:c r="J2" s="18" t="n">
        <x:v>550</x:v>
      </x:c>
    </x:row>
    <x:row r="3">
      <x:c r="A3" t="n">
        <x:v>2</x:v>
      </x:c>
      <x:c r="B3" t="str">
        <x:v>Children's Jackets (Boys)</x:v>
      </x:c>
      <x:c r="C3" s="22" t="n">
        <x:v>10</x:v>
      </x:c>
      <x:c r="D3" s="18" t="n">
        <x:v>45</x:v>
      </x:c>
      <x:c r="E3" s="18" t="n">
        <x:v>90</x:v>
      </x:c>
      <x:c r="F3" s="18" t="n">
        <x:v>6.65</x:v>
      </x:c>
      <x:c r="G3" s="18" t="n">
        <x:v>13.3</x:v>
      </x:c>
      <x:c r="H3" s="18" t="n">
        <x:v>450</x:v>
      </x:c>
      <x:c r="I3" s="18" t="n">
        <x:v>900</x:v>
      </x:c>
      <x:c r="J3" s="18" t="n">
        <x:v>450</x:v>
      </x:c>
    </x:row>
    <x:row r="4">
      <x:c r="A4" t="n">
        <x:v>3</x:v>
      </x:c>
      <x:c r="B4" t="str">
        <x:v>Toddler 2-Piece Clothing Suits</x:v>
      </x:c>
      <x:c r="C4" s="22" t="n">
        <x:v>48</x:v>
      </x:c>
      <x:c r="D4" s="18" t="n">
        <x:v>32</x:v>
      </x:c>
      <x:c r="E4" s="18" t="n">
        <x:v>64</x:v>
      </x:c>
      <x:c r="F4" s="18" t="n">
        <x:v>4.73</x:v>
      </x:c>
      <x:c r="G4" s="18" t="n">
        <x:v>9.46</x:v>
      </x:c>
      <x:c r="H4" s="18" t="n">
        <x:v>1536</x:v>
      </x:c>
      <x:c r="I4" s="18" t="n">
        <x:v>3072</x:v>
      </x:c>
      <x:c r="J4" s="18" t="n">
        <x:v>1536</x:v>
      </x:c>
    </x:row>
    <x:row r="5">
      <x:c r="A5" t="n">
        <x:v>4</x:v>
      </x:c>
      <x:c r="B5" t="str">
        <x:v>Children's Lace Dresses</x:v>
      </x:c>
      <x:c r="C5" s="22" t="n">
        <x:v>10</x:v>
      </x:c>
      <x:c r="D5" s="18" t="n">
        <x:v>35</x:v>
      </x:c>
      <x:c r="E5" s="18" t="n">
        <x:v>70</x:v>
      </x:c>
      <x:c r="F5" s="18" t="n">
        <x:v>5.17</x:v>
      </x:c>
      <x:c r="G5" s="18" t="n">
        <x:v>10.35</x:v>
      </x:c>
      <x:c r="H5" s="18" t="n">
        <x:v>350</x:v>
      </x:c>
      <x:c r="I5" s="18" t="n">
        <x:v>700</x:v>
      </x:c>
      <x:c r="J5" s="18" t="n">
        <x:v>350</x:v>
      </x:c>
    </x:row>
    <x:row r="6">
      <x:c r="A6" t="n">
        <x:v>5</x:v>
      </x:c>
      <x:c r="B6" t="str">
        <x:v>Children's Denim Ankle-Length Pants</x:v>
      </x:c>
      <x:c r="C6" s="22" t="n">
        <x:v>5</x:v>
      </x:c>
      <x:c r="D6" s="18" t="n">
        <x:v>23</x:v>
      </x:c>
      <x:c r="E6" s="18" t="n">
        <x:v>46</x:v>
      </x:c>
      <x:c r="F6" s="18" t="n">
        <x:v>3.4</x:v>
      </x:c>
      <x:c r="G6" s="18" t="n">
        <x:v>6.8</x:v>
      </x:c>
      <x:c r="H6" s="18" t="n">
        <x:v>115</x:v>
      </x:c>
      <x:c r="I6" s="18" t="n">
        <x:v>230</x:v>
      </x:c>
      <x:c r="J6" s="18" t="n">
        <x:v>115</x:v>
      </x:c>
    </x:row>
    <x:row r="7">
      <x:c r="A7" t="n">
        <x:v>6</x:v>
      </x:c>
      <x:c r="B7" t="str">
        <x:v>Children's Denim Casual Pants (Blue, Gold Rim)</x:v>
      </x:c>
      <x:c r="C7" s="22" t="n">
        <x:v>5</x:v>
      </x:c>
      <x:c r="D7" s="18" t="n">
        <x:v>23</x:v>
      </x:c>
      <x:c r="E7" s="18" t="n">
        <x:v>46</x:v>
      </x:c>
      <x:c r="F7" s="18" t="n">
        <x:v>3.4</x:v>
      </x:c>
      <x:c r="G7" s="18" t="n">
        <x:v>6.8</x:v>
      </x:c>
      <x:c r="H7" s="18" t="n">
        <x:v>115</x:v>
      </x:c>
      <x:c r="I7" s="18" t="n">
        <x:v>230</x:v>
      </x:c>
      <x:c r="J7" s="18" t="n">
        <x:v>115</x:v>
      </x:c>
    </x:row>
    <x:row r="8">
      <x:c r="A8" t="n">
        <x:v>7</x:v>
      </x:c>
      <x:c r="B8" t="str">
        <x:v>Children's Casual Ankle-Length Pants (Navy Blue)</x:v>
      </x:c>
      <x:c r="C8" s="22" t="n">
        <x:v>5</x:v>
      </x:c>
      <x:c r="D8" s="18" t="n">
        <x:v>23</x:v>
      </x:c>
      <x:c r="E8" s="18" t="n">
        <x:v>46</x:v>
      </x:c>
      <x:c r="F8" s="18" t="n">
        <x:v>3.4</x:v>
      </x:c>
      <x:c r="G8" s="18" t="n">
        <x:v>6.8</x:v>
      </x:c>
      <x:c r="H8" s="18" t="n">
        <x:v>115</x:v>
      </x:c>
      <x:c r="I8" s="18" t="n">
        <x:v>230</x:v>
      </x:c>
      <x:c r="J8" s="18" t="n">
        <x:v>115</x:v>
      </x:c>
    </x:row>
    <x:row r="9">
      <x:c r="A9" t="n">
        <x:v>8</x:v>
      </x:c>
      <x:c r="B9" t="str">
        <x:v>Children's Casual Cargo Trousers</x:v>
      </x:c>
      <x:c r="C9" s="22" t="n">
        <x:v>5</x:v>
      </x:c>
      <x:c r="D9" s="18" t="n">
        <x:v>30</x:v>
      </x:c>
      <x:c r="E9" s="18" t="n">
        <x:v>60</x:v>
      </x:c>
      <x:c r="F9" s="18" t="n">
        <x:v>4.43</x:v>
      </x:c>
      <x:c r="G9" s="18" t="n">
        <x:v>8.87</x:v>
      </x:c>
      <x:c r="H9" s="18" t="n">
        <x:v>150</x:v>
      </x:c>
      <x:c r="I9" s="18" t="n">
        <x:v>300</x:v>
      </x:c>
      <x:c r="J9" s="18" t="n">
        <x:v>150</x:v>
      </x:c>
    </x:row>
    <x:row r="10">
      <x:c r="A10" t="n">
        <x:v>9</x:v>
      </x:c>
      <x:c r="B10" t="str">
        <x:v>Children's Long &amp; Short Sleeve Matching Suits (Red)</x:v>
      </x:c>
      <x:c r="C10" s="22" t="n">
        <x:v>10</x:v>
      </x:c>
      <x:c r="D10" s="18" t="n">
        <x:v>41</x:v>
      </x:c>
      <x:c r="E10" s="18" t="n">
        <x:v>82</x:v>
      </x:c>
      <x:c r="F10" s="18" t="n">
        <x:v>6.06</x:v>
      </x:c>
      <x:c r="G10" s="18" t="n">
        <x:v>12.12</x:v>
      </x:c>
      <x:c r="H10" s="18" t="n">
        <x:v>410</x:v>
      </x:c>
      <x:c r="I10" s="18" t="n">
        <x:v>820</x:v>
      </x:c>
      <x:c r="J10" s="18" t="n">
        <x:v>410</x:v>
      </x:c>
    </x:row>
    <x:row r="11">
      <x:c r="A11" t="n">
        <x:v>10</x:v>
      </x:c>
      <x:c r="B11" t="str">
        <x:v>Children's 2-Piece T-Shirt &amp; Shorts Suits (Light Green)</x:v>
      </x:c>
      <x:c r="C11" s="22" t="n">
        <x:v>5</x:v>
      </x:c>
      <x:c r="D11" s="18" t="n">
        <x:v>35</x:v>
      </x:c>
      <x:c r="E11" s="18" t="n">
        <x:v>70</x:v>
      </x:c>
      <x:c r="F11" s="18" t="n">
        <x:v>5.17</x:v>
      </x:c>
      <x:c r="G11" s="18" t="n">
        <x:v>10.35</x:v>
      </x:c>
      <x:c r="H11" s="18" t="n">
        <x:v>175</x:v>
      </x:c>
      <x:c r="I11" s="18" t="n">
        <x:v>350</x:v>
      </x:c>
      <x:c r="J11" s="18" t="n">
        <x:v>175</x:v>
      </x:c>
    </x:row>
    <x:row r="12">
      <x:c r="A12" t="n">
        <x:v>11</x:v>
      </x:c>
      <x:c r="B12" t="str">
        <x:v>Ladies' Woven Sweaters</x:v>
      </x:c>
      <x:c r="C12" s="22" t="n">
        <x:v>50</x:v>
      </x:c>
      <x:c r="D12" s="18" t="n">
        <x:v>30</x:v>
      </x:c>
      <x:c r="E12" s="18" t="n">
        <x:v>60</x:v>
      </x:c>
      <x:c r="F12" s="18" t="n">
        <x:v>4.43</x:v>
      </x:c>
      <x:c r="G12" s="18" t="n">
        <x:v>8.87</x:v>
      </x:c>
      <x:c r="H12" s="18" t="n">
        <x:v>1500</x:v>
      </x:c>
      <x:c r="I12" s="18" t="n">
        <x:v>3000</x:v>
      </x:c>
      <x:c r="J12" s="18" t="n">
        <x:v>1500</x:v>
      </x:c>
    </x:row>
    <x:row r="13">
      <x:c r="A13" t="n">
        <x:v>12</x:v>
      </x:c>
      <x:c r="B13" t="str">
        <x:v>Ladies' Denim Dresses</x:v>
      </x:c>
      <x:c r="C13" s="22" t="n">
        <x:v>20</x:v>
      </x:c>
      <x:c r="D13" s="18" t="n">
        <x:v>42</x:v>
      </x:c>
      <x:c r="E13" s="18" t="n">
        <x:v>84</x:v>
      </x:c>
      <x:c r="F13" s="18" t="n">
        <x:v>6.21</x:v>
      </x:c>
      <x:c r="G13" s="18" t="n">
        <x:v>12.42</x:v>
      </x:c>
      <x:c r="H13" s="18" t="n">
        <x:v>840</x:v>
      </x:c>
      <x:c r="I13" s="18" t="n">
        <x:v>1680</x:v>
      </x:c>
      <x:c r="J13" s="18" t="n">
        <x:v>840</x:v>
      </x:c>
    </x:row>
    <x:row r="14">
      <x:c r="A14" t="n">
        <x:v>13</x:v>
      </x:c>
      <x:c r="B14" t="str">
        <x:v>Men's Woven Sweaters (Style 19309)</x:v>
      </x:c>
      <x:c r="C14" s="22" t="n">
        <x:v>12</x:v>
      </x:c>
      <x:c r="D14" s="18" t="n">
        <x:v>35</x:v>
      </x:c>
      <x:c r="E14" s="18" t="n">
        <x:v>70</x:v>
      </x:c>
      <x:c r="F14" s="18" t="n">
        <x:v>5.17</x:v>
      </x:c>
      <x:c r="G14" s="18" t="n">
        <x:v>10.35</x:v>
      </x:c>
      <x:c r="H14" s="18" t="n">
        <x:v>420</x:v>
      </x:c>
      <x:c r="I14" s="18" t="n">
        <x:v>840</x:v>
      </x:c>
      <x:c r="J14" s="18" t="n">
        <x:v>420</x:v>
      </x:c>
    </x:row>
    <x:row r="15">
      <x:c r="A15" t="n">
        <x:v>14</x:v>
      </x:c>
      <x:c r="B15" t="str">
        <x:v>Men's Woven Sweaters (Style 8102)</x:v>
      </x:c>
      <x:c r="C15" s="22" t="n">
        <x:v>12</x:v>
      </x:c>
      <x:c r="D15" s="18" t="n">
        <x:v>30</x:v>
      </x:c>
      <x:c r="E15" s="18" t="n">
        <x:v>60</x:v>
      </x:c>
      <x:c r="F15" s="18" t="n">
        <x:v>4.43</x:v>
      </x:c>
      <x:c r="G15" s="18" t="n">
        <x:v>8.87</x:v>
      </x:c>
      <x:c r="H15" s="18" t="n">
        <x:v>360</x:v>
      </x:c>
      <x:c r="I15" s="18" t="n">
        <x:v>720</x:v>
      </x:c>
      <x:c r="J15" s="18" t="n">
        <x:v>360</x:v>
      </x:c>
    </x:row>
    <x:row r="16">
      <x:c r="A16" t="n">
        <x:v>15</x:v>
      </x:c>
      <x:c r="B16" t="str">
        <x:v>Commercial Stationery Writing Pens</x:v>
      </x:c>
      <x:c r="C16" s="22" t="n">
        <x:v>88</x:v>
      </x:c>
      <x:c r="D16" s="18" t="n">
        <x:v>3.5</x:v>
      </x:c>
      <x:c r="E16" s="18" t="n">
        <x:v>7</x:v>
      </x:c>
      <x:c r="F16" s="18" t="n">
        <x:v>0.52</x:v>
      </x:c>
      <x:c r="G16" s="18" t="n">
        <x:v>1.03</x:v>
      </x:c>
      <x:c r="H16" s="18" t="n">
        <x:v>308</x:v>
      </x:c>
      <x:c r="I16" s="18" t="n">
        <x:v>616</x:v>
      </x:c>
      <x:c r="J16" s="18" t="n">
        <x:v>308</x:v>
      </x:c>
    </x:row>
    <x:row r="17">
      <x:c r="A17" t="n">
        <x:v>16</x:v>
      </x:c>
      <x:c r="B17" t="str">
        <x:v>Ladies' Fashion Dresses</x:v>
      </x:c>
      <x:c r="C17" s="22" t="n">
        <x:v>83</x:v>
      </x:c>
      <x:c r="D17" s="18" t="n">
        <x:v>11.51</x:v>
      </x:c>
      <x:c r="E17" s="18" t="n">
        <x:v>23.02</x:v>
      </x:c>
      <x:c r="F17" s="18" t="n">
        <x:v>1.7</x:v>
      </x:c>
      <x:c r="G17" s="18" t="n">
        <x:v>3.4</x:v>
      </x:c>
      <x:c r="H17" s="18" t="n">
        <x:v>955.33</x:v>
      </x:c>
      <x:c r="I17" s="18" t="n">
        <x:v>1910.66</x:v>
      </x:c>
      <x:c r="J17" s="18" t="n">
        <x:v>955.33</x:v>
      </x:c>
    </x:row>
    <x:row r="18">
      <x:c r="A18" t="n">
        <x:v>17</x:v>
      </x:c>
      <x:c r="B18" t="str">
        <x:v>Ladies' Long Dresses</x:v>
      </x:c>
      <x:c r="C18" s="22" t="n">
        <x:v>24</x:v>
      </x:c>
      <x:c r="D18" s="18" t="n">
        <x:v>25</x:v>
      </x:c>
      <x:c r="E18" s="18" t="n">
        <x:v>50</x:v>
      </x:c>
      <x:c r="F18" s="18" t="n">
        <x:v>3.69</x:v>
      </x:c>
      <x:c r="G18" s="18" t="n">
        <x:v>7.39</x:v>
      </x:c>
      <x:c r="H18" s="18" t="n">
        <x:v>600</x:v>
      </x:c>
      <x:c r="I18" s="18" t="n">
        <x:v>1200</x:v>
      </x:c>
      <x:c r="J18" s="18" t="n">
        <x:v>600</x:v>
      </x:c>
    </x:row>
    <x:row r="19">
      <x:c r="A19" t="n">
        <x:v>18</x:v>
      </x:c>
      <x:c r="B19" t="str">
        <x:v>Ladies' Black Dresses</x:v>
      </x:c>
      <x:c r="C19" s="22" t="n">
        <x:v>10</x:v>
      </x:c>
      <x:c r="D19" s="18" t="n">
        <x:v>45</x:v>
      </x:c>
      <x:c r="E19" s="18" t="n">
        <x:v>90</x:v>
      </x:c>
      <x:c r="F19" s="18" t="n">
        <x:v>6.65</x:v>
      </x:c>
      <x:c r="G19" s="18" t="n">
        <x:v>13.3</x:v>
      </x:c>
      <x:c r="H19" s="18" t="n">
        <x:v>450</x:v>
      </x:c>
      <x:c r="I19" s="18" t="n">
        <x:v>900</x:v>
      </x:c>
      <x:c r="J19" s="18" t="n">
        <x:v>450</x:v>
      </x:c>
    </x:row>
    <x:row r="20">
      <x:c r="A20" t="n">
        <x:v>19</x:v>
      </x:c>
      <x:c r="B20" t="str">
        <x:v>Ladies' 2-Piece Suits (Brown)</x:v>
      </x:c>
      <x:c r="C20" s="22" t="n">
        <x:v>1</x:v>
      </x:c>
      <x:c r="D20" s="18" t="n">
        <x:v>40</x:v>
      </x:c>
      <x:c r="E20" s="18" t="n">
        <x:v>80</x:v>
      </x:c>
      <x:c r="F20" s="18" t="n">
        <x:v>5.91</x:v>
      </x:c>
      <x:c r="G20" s="18" t="n">
        <x:v>11.82</x:v>
      </x:c>
      <x:c r="H20" s="18" t="n">
        <x:v>40</x:v>
      </x:c>
      <x:c r="I20" s="18" t="n">
        <x:v>80</x:v>
      </x:c>
      <x:c r="J20" s="18" t="n">
        <x:v>40</x:v>
      </x:c>
    </x:row>
    <x:row r="21">
      <x:c r="A21" t="n">
        <x:v>20</x:v>
      </x:c>
      <x:c r="B21" t="str">
        <x:v>Fashion Jackets (Maroon)</x:v>
      </x:c>
      <x:c r="C21" s="22" t="n">
        <x:v>10</x:v>
      </x:c>
      <x:c r="D21" s="18" t="n">
        <x:v>45</x:v>
      </x:c>
      <x:c r="E21" s="18" t="n">
        <x:v>90</x:v>
      </x:c>
      <x:c r="F21" s="18" t="n">
        <x:v>6.65</x:v>
      </x:c>
      <x:c r="G21" s="18" t="n">
        <x:v>13.3</x:v>
      </x:c>
      <x:c r="H21" s="18" t="n">
        <x:v>450</x:v>
      </x:c>
      <x:c r="I21" s="18" t="n">
        <x:v>900</x:v>
      </x:c>
      <x:c r="J21" s="18" t="n">
        <x:v>450</x:v>
      </x:c>
    </x:row>
    <x:row r="22">
      <x:c r="A22" t="n">
        <x:v>21</x:v>
      </x:c>
      <x:c r="B22" t="str">
        <x:v>Fashion Jackets (Blue)</x:v>
      </x:c>
      <x:c r="C22" s="22" t="n">
        <x:v>10</x:v>
      </x:c>
      <x:c r="D22" s="18" t="n">
        <x:v>45</x:v>
      </x:c>
      <x:c r="E22" s="18" t="n">
        <x:v>90</x:v>
      </x:c>
      <x:c r="F22" s="18" t="n">
        <x:v>6.65</x:v>
      </x:c>
      <x:c r="G22" s="18" t="n">
        <x:v>13.3</x:v>
      </x:c>
      <x:c r="H22" s="18" t="n">
        <x:v>450</x:v>
      </x:c>
      <x:c r="I22" s="18" t="n">
        <x:v>900</x:v>
      </x:c>
      <x:c r="J22" s="18" t="n">
        <x:v>450</x:v>
      </x:c>
    </x:row>
    <x:row r="23">
      <x:c r="A23" t="n">
        <x:v>22</x:v>
      </x:c>
      <x:c r="B23" t="str">
        <x:v>Ladies' Knitted Scarves (Style A)</x:v>
      </x:c>
      <x:c r="C23" s="22" t="n">
        <x:v>20</x:v>
      </x:c>
      <x:c r="D23" s="18" t="n">
        <x:v>17</x:v>
      </x:c>
      <x:c r="E23" s="18" t="n">
        <x:v>34</x:v>
      </x:c>
      <x:c r="F23" s="18" t="n">
        <x:v>2.51</x:v>
      </x:c>
      <x:c r="G23" s="18" t="n">
        <x:v>5.03</x:v>
      </x:c>
      <x:c r="H23" s="18" t="n">
        <x:v>340</x:v>
      </x:c>
      <x:c r="I23" s="18" t="n">
        <x:v>680</x:v>
      </x:c>
      <x:c r="J23" s="18" t="n">
        <x:v>340</x:v>
      </x:c>
    </x:row>
    <x:row r="24">
      <x:c r="A24" t="n">
        <x:v>23</x:v>
      </x:c>
      <x:c r="B24" t="str">
        <x:v>Ladies' Woven Ponchos / Shawls</x:v>
      </x:c>
      <x:c r="C24" s="22" t="n">
        <x:v>10</x:v>
      </x:c>
      <x:c r="D24" s="18" t="n">
        <x:v>38</x:v>
      </x:c>
      <x:c r="E24" s="18" t="n">
        <x:v>76</x:v>
      </x:c>
      <x:c r="F24" s="18" t="n">
        <x:v>5.62</x:v>
      </x:c>
      <x:c r="G24" s="18" t="n">
        <x:v>11.23</x:v>
      </x:c>
      <x:c r="H24" s="18" t="n">
        <x:v>380</x:v>
      </x:c>
      <x:c r="I24" s="18" t="n">
        <x:v>760</x:v>
      </x:c>
      <x:c r="J24" s="18" t="n">
        <x:v>380</x:v>
      </x:c>
    </x:row>
    <x:row r="25">
      <x:c r="A25" t="n">
        <x:v>24</x:v>
      </x:c>
      <x:c r="B25" t="str">
        <x:v>Ladies' Textile Head Wraps</x:v>
      </x:c>
      <x:c r="C25" s="22" t="n">
        <x:v>22</x:v>
      </x:c>
      <x:c r="D25" s="18" t="n">
        <x:v>5</x:v>
      </x:c>
      <x:c r="E25" s="18" t="n">
        <x:v>10</x:v>
      </x:c>
      <x:c r="F25" s="18" t="n">
        <x:v>0.74</x:v>
      </x:c>
      <x:c r="G25" s="18" t="n">
        <x:v>1.48</x:v>
      </x:c>
      <x:c r="H25" s="18" t="n">
        <x:v>110</x:v>
      </x:c>
      <x:c r="I25" s="18" t="n">
        <x:v>220</x:v>
      </x:c>
      <x:c r="J25" s="18" t="n">
        <x:v>110</x:v>
      </x:c>
    </x:row>
    <x:row r="26">
      <x:c r="A26" t="n">
        <x:v>25</x:v>
      </x:c>
      <x:c r="B26" t="str">
        <x:v>Ladies' Sleeveless Ponchos / Capes</x:v>
      </x:c>
      <x:c r="C26" s="22" t="n">
        <x:v>10</x:v>
      </x:c>
      <x:c r="D26" s="18" t="n">
        <x:v>26</x:v>
      </x:c>
      <x:c r="E26" s="18" t="n">
        <x:v>52</x:v>
      </x:c>
      <x:c r="F26" s="18" t="n">
        <x:v>3.84</x:v>
      </x:c>
      <x:c r="G26" s="18" t="n">
        <x:v>7.69</x:v>
      </x:c>
      <x:c r="H26" s="18" t="n">
        <x:v>260</x:v>
      </x:c>
      <x:c r="I26" s="18" t="n">
        <x:v>520</x:v>
      </x:c>
      <x:c r="J26" s="18" t="n">
        <x:v>260</x:v>
      </x:c>
    </x:row>
    <x:row r="27">
      <x:c r="A27" t="n">
        <x:v>26</x:v>
      </x:c>
      <x:c r="B27" t="str">
        <x:v>Ladies' Lightweight Scarves (Style B)</x:v>
      </x:c>
      <x:c r="C27" s="22" t="n">
        <x:v>20</x:v>
      </x:c>
      <x:c r="D27" s="18" t="n">
        <x:v>10</x:v>
      </x:c>
      <x:c r="E27" s="18" t="n">
        <x:v>20</x:v>
      </x:c>
      <x:c r="F27" s="18" t="n">
        <x:v>1.48</x:v>
      </x:c>
      <x:c r="G27" s="18" t="n">
        <x:v>2.96</x:v>
      </x:c>
      <x:c r="H27" s="18" t="n">
        <x:v>200</x:v>
      </x:c>
      <x:c r="I27" s="18" t="n">
        <x:v>400</x:v>
      </x:c>
      <x:c r="J27" s="18" t="n">
        <x:v>200</x:v>
      </x:c>
    </x:row>
    <x:row r="28">
      <x:c r="A28" t="n">
        <x:v>27</x:v>
      </x:c>
      <x:c r="B28" t="str">
        <x:v>Ladies' Fashion Dresses (Green &amp; Black)</x:v>
      </x:c>
      <x:c r="C28" s="22" t="n">
        <x:v>10</x:v>
      </x:c>
      <x:c r="D28" s="18" t="n">
        <x:v>45</x:v>
      </x:c>
      <x:c r="E28" s="18" t="n">
        <x:v>90</x:v>
      </x:c>
      <x:c r="F28" s="18" t="n">
        <x:v>6.65</x:v>
      </x:c>
      <x:c r="G28" s="18" t="n">
        <x:v>13.3</x:v>
      </x:c>
      <x:c r="H28" s="18" t="n">
        <x:v>450</x:v>
      </x:c>
      <x:c r="I28" s="18" t="n">
        <x:v>900</x:v>
      </x:c>
      <x:c r="J28" s="18" t="n">
        <x:v>450</x:v>
      </x:c>
    </x:row>
    <x:row r="29">
      <x:c r="A29" t="n">
        <x:v>28</x:v>
      </x:c>
      <x:c r="B29" t="str">
        <x:v>Ladies' Denim Dresses</x:v>
      </x:c>
      <x:c r="C29" s="22" t="n">
        <x:v>10</x:v>
      </x:c>
      <x:c r="D29" s="18" t="n">
        <x:v>45</x:v>
      </x:c>
      <x:c r="E29" s="18" t="n">
        <x:v>90</x:v>
      </x:c>
      <x:c r="F29" s="18" t="n">
        <x:v>6.65</x:v>
      </x:c>
      <x:c r="G29" s="18" t="n">
        <x:v>13.3</x:v>
      </x:c>
      <x:c r="H29" s="18" t="n">
        <x:v>450</x:v>
      </x:c>
      <x:c r="I29" s="18" t="n">
        <x:v>900</x:v>
      </x:c>
      <x:c r="J29" s="18" t="n">
        <x:v>450</x:v>
      </x:c>
    </x:row>
    <x:row r="30">
      <x:c r="A30" t="n">
        <x:v>29</x:v>
      </x:c>
      <x:c r="B30" t="str">
        <x:v>Ladies' Small Pouch Bags</x:v>
      </x:c>
      <x:c r="C30" s="22" t="n">
        <x:v>8</x:v>
      </x:c>
      <x:c r="D30" s="18" t="n">
        <x:v>25</x:v>
      </x:c>
      <x:c r="E30" s="18" t="n">
        <x:v>50</x:v>
      </x:c>
      <x:c r="F30" s="18" t="n">
        <x:v>3.69</x:v>
      </x:c>
      <x:c r="G30" s="18" t="n">
        <x:v>7.39</x:v>
      </x:c>
      <x:c r="H30" s="18" t="n">
        <x:v>200</x:v>
      </x:c>
      <x:c r="I30" s="18" t="n">
        <x:v>400</x:v>
      </x:c>
      <x:c r="J30" s="18" t="n">
        <x:v>200</x:v>
      </x:c>
    </x:row>
    <x:row r="31">
      <x:c r="A31" t="n">
        <x:v>30</x:v>
      </x:c>
      <x:c r="B31" t="str">
        <x:v>Casual Sports Shoes / Takkies</x:v>
      </x:c>
      <x:c r="C31" s="22" t="n">
        <x:v>11</x:v>
      </x:c>
      <x:c r="D31" s="18" t="n">
        <x:v>55</x:v>
      </x:c>
      <x:c r="E31" s="18" t="n">
        <x:v>110</x:v>
      </x:c>
      <x:c r="F31" s="18" t="n">
        <x:v>8.13</x:v>
      </x:c>
      <x:c r="G31" s="18" t="n">
        <x:v>16.26</x:v>
      </x:c>
      <x:c r="H31" s="18" t="n">
        <x:v>605</x:v>
      </x:c>
      <x:c r="I31" s="18" t="n">
        <x:v>1210</x:v>
      </x:c>
      <x:c r="J31" s="18" t="n">
        <x:v>605</x:v>
      </x:c>
    </x:row>
    <x:row r="32">
      <x:c r="A32" t="n">
        <x:v>31</x:v>
      </x:c>
      <x:c r="B32" t="str">
        <x:v>Smart Audio Eyewear (Bluetooth Glasses)</x:v>
      </x:c>
      <x:c r="C32" s="22" t="n">
        <x:v>27</x:v>
      </x:c>
      <x:c r="D32" s="18" t="n">
        <x:v>50</x:v>
      </x:c>
      <x:c r="E32" s="18" t="n">
        <x:v>100</x:v>
      </x:c>
      <x:c r="F32" s="18" t="n">
        <x:v>7.39</x:v>
      </x:c>
      <x:c r="G32" s="18" t="n">
        <x:v>14.78</x:v>
      </x:c>
      <x:c r="H32" s="18" t="n">
        <x:v>1350</x:v>
      </x:c>
      <x:c r="I32" s="18" t="n">
        <x:v>2700</x:v>
      </x:c>
      <x:c r="J32" s="18" t="n">
        <x:v>1350</x:v>
      </x:c>
    </x:row>
    <x:row r="33">
      <x:c r="A33" t="n">
        <x:v>32</x:v>
      </x:c>
      <x:c r="B33" t="str">
        <x:v>Dual-Function USB Wall Power Adapters (Phone Charger)</x:v>
      </x:c>
      <x:c r="C33" s="22" t="n">
        <x:v>100</x:v>
      </x:c>
      <x:c r="D33" s="18" t="n">
        <x:v>6</x:v>
      </x:c>
      <x:c r="E33" s="18" t="n">
        <x:v>12</x:v>
      </x:c>
      <x:c r="F33" s="18" t="n">
        <x:v>0.89</x:v>
      </x:c>
      <x:c r="G33" s="18" t="n">
        <x:v>1.77</x:v>
      </x:c>
      <x:c r="H33" s="18" t="n">
        <x:v>600</x:v>
      </x:c>
      <x:c r="I33" s="18" t="n">
        <x:v>1200</x:v>
      </x:c>
      <x:c r="J33" s="18" t="n">
        <x:v>600</x:v>
      </x:c>
    </x:row>
    <x:row r="34">
      <x:c r="A34" t="n">
        <x:v>33</x:v>
      </x:c>
      <x:c r="B34" t="str">
        <x:v>Ladies' Fashion T-Shirts (Type A)</x:v>
      </x:c>
      <x:c r="C34" s="22" t="n">
        <x:v>5</x:v>
      </x:c>
      <x:c r="D34" s="18" t="n">
        <x:v>52</x:v>
      </x:c>
      <x:c r="E34" s="18" t="n">
        <x:v>104</x:v>
      </x:c>
      <x:c r="F34" s="18" t="n">
        <x:v>7.69</x:v>
      </x:c>
      <x:c r="G34" s="18" t="n">
        <x:v>15.37</x:v>
      </x:c>
      <x:c r="H34" s="18" t="n">
        <x:v>260</x:v>
      </x:c>
      <x:c r="I34" s="18" t="n">
        <x:v>520</x:v>
      </x:c>
      <x:c r="J34" s="18" t="n">
        <x:v>260</x:v>
      </x:c>
    </x:row>
    <x:row r="35">
      <x:c r="A35" t="n">
        <x:v>34</x:v>
      </x:c>
      <x:c r="B35" t="str">
        <x:v>Ladies' Fashion T-Shirts (Type B)</x:v>
      </x:c>
      <x:c r="C35" s="22" t="n">
        <x:v>5</x:v>
      </x:c>
      <x:c r="D35" s="18" t="n">
        <x:v>46</x:v>
      </x:c>
      <x:c r="E35" s="18" t="n">
        <x:v>92</x:v>
      </x:c>
      <x:c r="F35" s="18" t="n">
        <x:v>6.8</x:v>
      </x:c>
      <x:c r="G35" s="18" t="n">
        <x:v>13.6</x:v>
      </x:c>
      <x:c r="H35" s="18" t="n">
        <x:v>230</x:v>
      </x:c>
      <x:c r="I35" s="18" t="n">
        <x:v>460</x:v>
      </x:c>
      <x:c r="J35" s="18" t="n">
        <x:v>230</x:v>
      </x:c>
    </x:row>
    <x:row r="36">
      <x:c r="A36" t="n">
        <x:v>35</x:v>
      </x:c>
      <x:c r="B36" t="str">
        <x:v>Ladies' Fashion Cargo Dresses (Style A)</x:v>
      </x:c>
      <x:c r="C36" s="22" t="n">
        <x:v>5</x:v>
      </x:c>
      <x:c r="D36" s="18" t="n">
        <x:v>110</x:v>
      </x:c>
      <x:c r="E36" s="18" t="n">
        <x:v>220</x:v>
      </x:c>
      <x:c r="F36" s="18" t="n">
        <x:v>16.26</x:v>
      </x:c>
      <x:c r="G36" s="18" t="n">
        <x:v>32.52</x:v>
      </x:c>
      <x:c r="H36" s="18" t="n">
        <x:v>550</x:v>
      </x:c>
      <x:c r="I36" s="18" t="n">
        <x:v>1100</x:v>
      </x:c>
      <x:c r="J36" s="18" t="n">
        <x:v>550</x:v>
      </x:c>
    </x:row>
    <x:row r="37">
      <x:c r="A37" t="n">
        <x:v>36</x:v>
      </x:c>
      <x:c r="B37" t="str">
        <x:v>Ladies' Fashion Cargo Dresses (Style B)</x:v>
      </x:c>
      <x:c r="C37" s="22" t="n">
        <x:v>5</x:v>
      </x:c>
      <x:c r="D37" s="18" t="n">
        <x:v>120</x:v>
      </x:c>
      <x:c r="E37" s="18" t="n">
        <x:v>240</x:v>
      </x:c>
      <x:c r="F37" s="18" t="n">
        <x:v>17.74</x:v>
      </x:c>
      <x:c r="G37" s="18" t="n">
        <x:v>35.47</x:v>
      </x:c>
      <x:c r="H37" s="18" t="n">
        <x:v>600</x:v>
      </x:c>
      <x:c r="I37" s="18" t="n">
        <x:v>1200</x:v>
      </x:c>
      <x:c r="J37" s="18" t="n">
        <x:v>600</x:v>
      </x:c>
    </x:row>
    <x:row r="38">
      <x:c r="A38" t="n">
        <x:v>37</x:v>
      </x:c>
      <x:c r="B38" t="str">
        <x:v>Knitted Sweaters</x:v>
      </x:c>
      <x:c r="C38" s="22" t="n">
        <x:v>81</x:v>
      </x:c>
      <x:c r="D38" s="18" t="n">
        <x:v>37</x:v>
      </x:c>
      <x:c r="E38" s="18" t="n">
        <x:v>74</x:v>
      </x:c>
      <x:c r="F38" s="18" t="n">
        <x:v>5.47</x:v>
      </x:c>
      <x:c r="G38" s="18" t="n">
        <x:v>10.94</x:v>
      </x:c>
      <x:c r="H38" s="18" t="n">
        <x:v>2997</x:v>
      </x:c>
      <x:c r="I38" s="18" t="n">
        <x:v>5994</x:v>
      </x:c>
      <x:c r="J38" s="18" t="n">
        <x:v>2997</x:v>
      </x:c>
    </x:row>
    <x:row r="39">
      <x:c r="A39" t="n">
        <x:v>38</x:v>
      </x:c>
      <x:c r="B39" t="str">
        <x:v>Men's Fashion T-Shirts</x:v>
      </x:c>
      <x:c r="C39" s="22" t="n">
        <x:v>10</x:v>
      </x:c>
      <x:c r="D39" s="18" t="n">
        <x:v>45</x:v>
      </x:c>
      <x:c r="E39" s="18" t="n">
        <x:v>90</x:v>
      </x:c>
      <x:c r="F39" s="18" t="n">
        <x:v>6.65</x:v>
      </x:c>
      <x:c r="G39" s="18" t="n">
        <x:v>13.3</x:v>
      </x:c>
      <x:c r="H39" s="18" t="n">
        <x:v>450</x:v>
      </x:c>
      <x:c r="I39" s="18" t="n">
        <x:v>900</x:v>
      </x:c>
      <x:c r="J39" s="18" t="n">
        <x:v>450</x:v>
      </x:c>
    </x:row>
    <x:row r="40">
      <x:c r="A40" t="n">
        <x:v>39</x:v>
      </x:c>
      <x:c r="B40" t="str">
        <x:v>Ladies' Fashion Skirts</x:v>
      </x:c>
      <x:c r="C40" s="22" t="n">
        <x:v>10</x:v>
      </x:c>
      <x:c r="D40" s="18" t="n">
        <x:v>38</x:v>
      </x:c>
      <x:c r="E40" s="18" t="n">
        <x:v>76</x:v>
      </x:c>
      <x:c r="F40" s="18" t="n">
        <x:v>5.62</x:v>
      </x:c>
      <x:c r="G40" s="18" t="n">
        <x:v>11.23</x:v>
      </x:c>
      <x:c r="H40" s="18" t="n">
        <x:v>380</x:v>
      </x:c>
      <x:c r="I40" s="18" t="n">
        <x:v>760</x:v>
      </x:c>
      <x:c r="J40" s="18" t="n">
        <x:v>380</x:v>
      </x:c>
    </x:row>
    <x:row r="41">
      <x:c r="A41" t="n">
        <x:v>40</x:v>
      </x:c>
      <x:c r="B41" t="str">
        <x:v>High-Speed USB Data Cables</x:v>
      </x:c>
      <x:c r="C41" s="22" t="n">
        <x:v>100</x:v>
      </x:c>
      <x:c r="D41" s="18" t="n">
        <x:v>1.5</x:v>
      </x:c>
      <x:c r="E41" s="18" t="n">
        <x:v>3</x:v>
      </x:c>
      <x:c r="F41" s="18" t="n">
        <x:v>0.22</x:v>
      </x:c>
      <x:c r="G41" s="18" t="n">
        <x:v>0.44</x:v>
      </x:c>
      <x:c r="H41" s="18" t="n">
        <x:v>150</x:v>
      </x:c>
      <x:c r="I41" s="18" t="n">
        <x:v>300</x:v>
      </x:c>
      <x:c r="J41" s="18" t="n">
        <x:v>150</x:v>
      </x:c>
    </x:row>
    <x:row r="42">
      <x:c r="A42" t="n">
        <x:v>41</x:v>
      </x:c>
      <x:c r="B42" t="str">
        <x:v>Children's Fashion Dresses (Yellow/Orange)</x:v>
      </x:c>
      <x:c r="C42" s="22" t="n">
        <x:v>4</x:v>
      </x:c>
      <x:c r="D42" s="18" t="n">
        <x:v>29</x:v>
      </x:c>
      <x:c r="E42" s="18" t="n">
        <x:v>58</x:v>
      </x:c>
      <x:c r="F42" s="18" t="n">
        <x:v>4.29</x:v>
      </x:c>
      <x:c r="G42" s="18" t="n">
        <x:v>8.57</x:v>
      </x:c>
      <x:c r="H42" s="18" t="n">
        <x:v>116</x:v>
      </x:c>
      <x:c r="I42" s="18" t="n">
        <x:v>232</x:v>
      </x:c>
      <x:c r="J42" s="18" t="n">
        <x:v>116</x:v>
      </x:c>
    </x:row>
    <x:row r="43">
      <x:c r="A43" t="n">
        <x:v>42</x:v>
      </x:c>
      <x:c r="B43" t="str">
        <x:v>Ladies' Straight Dresses (Long)</x:v>
      </x:c>
      <x:c r="C43" s="22" t="n">
        <x:v>10</x:v>
      </x:c>
      <x:c r="D43" s="18" t="n">
        <x:v>28</x:v>
      </x:c>
      <x:c r="E43" s="18" t="n">
        <x:v>56</x:v>
      </x:c>
      <x:c r="F43" s="18" t="n">
        <x:v>4.14</x:v>
      </x:c>
      <x:c r="G43" s="18" t="n">
        <x:v>8.28</x:v>
      </x:c>
      <x:c r="H43" s="18" t="n">
        <x:v>280</x:v>
      </x:c>
      <x:c r="I43" s="18" t="n">
        <x:v>560</x:v>
      </x:c>
      <x:c r="J43" s="18" t="n">
        <x:v>280</x:v>
      </x:c>
    </x:row>
    <x:row r="44">
      <x:c r="A44" t="n">
        <x:v>43</x:v>
      </x:c>
      <x:c r="B44" t="str">
        <x:v>Ladies' Straight Dresses (Short)</x:v>
      </x:c>
      <x:c r="C44" s="22" t="n">
        <x:v>10</x:v>
      </x:c>
      <x:c r="D44" s="18" t="n">
        <x:v>25</x:v>
      </x:c>
      <x:c r="E44" s="18" t="n">
        <x:v>50</x:v>
      </x:c>
      <x:c r="F44" s="18" t="n">
        <x:v>3.69</x:v>
      </x:c>
      <x:c r="G44" s="18" t="n">
        <x:v>7.39</x:v>
      </x:c>
      <x:c r="H44" s="18" t="n">
        <x:v>250</x:v>
      </x:c>
      <x:c r="I44" s="18" t="n">
        <x:v>500</x:v>
      </x:c>
      <x:c r="J44" s="18" t="n">
        <x:v>250</x:v>
      </x:c>
    </x:row>
    <x:row r="45">
      <x:c r="A45" t="n">
        <x:v>44</x:v>
      </x:c>
      <x:c r="B45" t="str">
        <x:v>Ladies' Colorful Long Dresses (Style A)</x:v>
      </x:c>
      <x:c r="C45" s="22" t="n">
        <x:v>5</x:v>
      </x:c>
      <x:c r="D45" s="18" t="n">
        <x:v>45</x:v>
      </x:c>
      <x:c r="E45" s="18" t="n">
        <x:v>90</x:v>
      </x:c>
      <x:c r="F45" s="18" t="n">
        <x:v>6.65</x:v>
      </x:c>
      <x:c r="G45" s="18" t="n">
        <x:v>13.3</x:v>
      </x:c>
      <x:c r="H45" s="18" t="n">
        <x:v>225</x:v>
      </x:c>
      <x:c r="I45" s="18" t="n">
        <x:v>450</x:v>
      </x:c>
      <x:c r="J45" s="18" t="n">
        <x:v>225</x:v>
      </x:c>
    </x:row>
    <x:row r="46">
      <x:c r="A46" t="n">
        <x:v>45</x:v>
      </x:c>
      <x:c r="B46" t="str">
        <x:v>Ladies' Colorful Long Dresses (Style B)</x:v>
      </x:c>
      <x:c r="C46" s="22" t="n">
        <x:v>5</x:v>
      </x:c>
      <x:c r="D46" s="18" t="n">
        <x:v>40</x:v>
      </x:c>
      <x:c r="E46" s="18" t="n">
        <x:v>80</x:v>
      </x:c>
      <x:c r="F46" s="18" t="n">
        <x:v>5.91</x:v>
      </x:c>
      <x:c r="G46" s="18" t="n">
        <x:v>11.82</x:v>
      </x:c>
      <x:c r="H46" s="18" t="n">
        <x:v>200</x:v>
      </x:c>
      <x:c r="I46" s="18" t="n">
        <x:v>400</x:v>
      </x:c>
      <x:c r="J46" s="18" t="n">
        <x:v>200</x:v>
      </x:c>
    </x:row>
    <x:row r="47">
      <x:c r="A47" t="n">
        <x:v>46</x:v>
      </x:c>
      <x:c r="B47" t="str">
        <x:v>Generic Perfumes / Fragrances</x:v>
      </x:c>
      <x:c r="C47" s="22" t="n">
        <x:v>100</x:v>
      </x:c>
      <x:c r="D47" s="18" t="n">
        <x:v>15.3</x:v>
      </x:c>
      <x:c r="E47" s="18" t="n">
        <x:v>30.6</x:v>
      </x:c>
      <x:c r="F47" s="18" t="n">
        <x:v>2.26</x:v>
      </x:c>
      <x:c r="G47" s="18" t="n">
        <x:v>4.52</x:v>
      </x:c>
      <x:c r="H47" s="18" t="n">
        <x:v>1530</x:v>
      </x:c>
      <x:c r="I47" s="18" t="n">
        <x:v>3060</x:v>
      </x:c>
      <x:c r="J47" s="18" t="n">
        <x:v>1530</x:v>
      </x:c>
    </x:row>
    <x:row r="48">
      <x:c r="A48" t="n">
        <x:v>47</x:v>
      </x:c>
      <x:c r="B48" t="str">
        <x:v>Ladies' Fashion Cargo Dresses (Style C)</x:v>
      </x:c>
      <x:c r="C48" s="22" t="n">
        <x:v>4</x:v>
      </x:c>
      <x:c r="D48" s="18" t="n">
        <x:v>120</x:v>
      </x:c>
      <x:c r="E48" s="18" t="n">
        <x:v>240</x:v>
      </x:c>
      <x:c r="F48" s="18" t="n">
        <x:v>17.74</x:v>
      </x:c>
      <x:c r="G48" s="18" t="n">
        <x:v>35.47</x:v>
      </x:c>
      <x:c r="H48" s="18" t="n">
        <x:v>480</x:v>
      </x:c>
      <x:c r="I48" s="18" t="n">
        <x:v>960</x:v>
      </x:c>
      <x:c r="J48" s="18" t="n">
        <x:v>480</x:v>
      </x:c>
    </x:row>
    <x:row r="49">
      <x:c r="A49" t="n">
        <x:v>48</x:v>
      </x:c>
      <x:c r="B49" t="str">
        <x:v>Ladies' Fashion Cargo Dresses (Style D)</x:v>
      </x:c>
      <x:c r="C49" s="22" t="n">
        <x:v>4</x:v>
      </x:c>
      <x:c r="D49" s="18" t="n">
        <x:v>108</x:v>
      </x:c>
      <x:c r="E49" s="18" t="n">
        <x:v>216</x:v>
      </x:c>
      <x:c r="F49" s="18" t="n">
        <x:v>15.96</x:v>
      </x:c>
      <x:c r="G49" s="18" t="n">
        <x:v>31.92</x:v>
      </x:c>
      <x:c r="H49" s="18" t="n">
        <x:v>432</x:v>
      </x:c>
      <x:c r="I49" s="18" t="n">
        <x:v>864</x:v>
      </x:c>
      <x:c r="J49" s="18" t="n">
        <x:v>432</x:v>
      </x:c>
    </x:row>
    <x:row r="50">
      <x:c r="A50" s="14" t="str"/>
      <x:c r="B50" s="14" t="str">
        <x:v>TOTAL</x:v>
      </x:c>
      <x:c r="C50" s="23" t="n">
        <x:v>1044</x:v>
      </x:c>
      <x:c r="D50" s="19" t="str"/>
      <x:c r="E50" s="19" t="str"/>
      <x:c r="F50" s="19" t="str"/>
      <x:c r="G50" s="19" t="str"/>
      <x:c r="H50" s="19" t="n">
        <x:v>24414.33</x:v>
      </x:c>
      <x:c r="I50" s="19" t="n">
        <x:v>48828.66</x:v>
      </x:c>
      <x:c r="J50" s="19" t="n">
        <x:v>24414.33</x:v>
      </x:c>
    </x:row>
  </x:sheetData>
  <x:pageMargins left="0.7" right="0.7" top="0.75" bottom="0.75" header="0.3" footer="0.3"/>
  <x:tableParts count="1">
    <x:tablePart xmlns:r="http://schemas.openxmlformats.org/officeDocument/2006/relationships" r:id="R65a24643445348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9.2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</x:v>
      </x:c>
    </x:row>
    <x:row r="3">
      <x:c r="A3" s="31" t="str">
        <x:v>Product name</x:v>
      </x:c>
      <x:c r="B3" s="34" t="str">
        <x:v>Children's Jackets (Girls)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55</x:v>
      </x:c>
    </x:row>
    <x:row r="6">
      <x:c r="A6" s="31" t="str">
        <x:v>Selling price/item (RMB)</x:v>
      </x:c>
      <x:c r="B6" s="36" t="n">
        <x:v>110</x:v>
      </x:c>
    </x:row>
    <x:row r="7">
      <x:c r="A7" s="31" t="str">
        <x:v>Unit cost (USD)</x:v>
      </x:c>
      <x:c r="B7" s="36" t="n">
        <x:v>8.13</x:v>
      </x:c>
    </x:row>
    <x:row r="8">
      <x:c r="A8" s="31" t="str">
        <x:v>Selling price/item (USD)</x:v>
      </x:c>
      <x:c r="B8" s="36" t="n">
        <x:v>16.26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aab24827cba43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9.37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</x:v>
      </x:c>
    </x:row>
    <x:row r="3">
      <x:c r="A3" s="31" t="str">
        <x:v>Product name</x:v>
      </x:c>
      <x:c r="B3" s="34" t="str">
        <x:v>Children's Jackets (Boys)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8f01908b57e4e4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3.6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</x:v>
      </x:c>
    </x:row>
    <x:row r="3">
      <x:c r="A3" s="31" t="str">
        <x:v>Product name</x:v>
      </x:c>
      <x:c r="B3" s="34" t="str">
        <x:v>Toddler 2-Piece Clothing Suits</x:v>
      </x:c>
    </x:row>
    <x:row r="4">
      <x:c r="A4" s="31" t="str">
        <x:v>Initial stock quantity</x:v>
      </x:c>
      <x:c r="B4" s="34" t="n">
        <x:v>48</x:v>
      </x:c>
    </x:row>
    <x:row r="5">
      <x:c r="A5" s="31" t="str">
        <x:v>Unit cost (RMB)</x:v>
      </x:c>
      <x:c r="B5" s="36" t="n">
        <x:v>32</x:v>
      </x:c>
    </x:row>
    <x:row r="6">
      <x:c r="A6" s="31" t="str">
        <x:v>Selling price/item (RMB)</x:v>
      </x:c>
      <x:c r="B6" s="36" t="n">
        <x:v>64</x:v>
      </x:c>
    </x:row>
    <x:row r="7">
      <x:c r="A7" s="31" t="str">
        <x:v>Unit cost (USD)</x:v>
      </x:c>
      <x:c r="B7" s="36" t="n">
        <x:v>4.73</x:v>
      </x:c>
    </x:row>
    <x:row r="8">
      <x:c r="A8" s="31" t="str">
        <x:v>Selling price/item (USD)</x:v>
      </x:c>
      <x:c r="B8" s="36" t="n">
        <x:v>9.46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48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48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48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48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48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48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48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48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48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48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48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48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48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48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48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48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48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48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48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48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48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48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48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48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48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48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48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48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48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48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48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48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48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48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48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48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48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48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48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48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48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48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48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48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48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48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48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48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48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48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48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48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48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48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48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48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48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48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48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48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48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48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48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48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48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48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48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48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48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48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48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48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48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48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48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48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48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48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48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48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48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48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48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48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48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48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48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48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48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48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48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48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48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48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48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48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48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48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48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48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48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48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48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48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48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48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48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48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48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48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48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48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48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48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48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48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48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48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48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48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48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48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48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48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48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48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48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48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48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48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48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48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48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48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48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48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48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48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48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48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48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48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48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48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48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48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48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48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48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48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48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48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48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48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48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48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48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48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48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48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48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48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48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48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48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48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48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48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48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48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48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48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48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48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48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48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48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48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48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48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48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48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48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48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48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48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48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48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48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48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48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48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48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48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48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48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48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48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48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48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b9783dce3df47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8.44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</x:v>
      </x:c>
    </x:row>
    <x:row r="3">
      <x:c r="A3" s="31" t="str">
        <x:v>Product name</x:v>
      </x:c>
      <x:c r="B3" s="34" t="str">
        <x:v>Children's Lace Dresses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35</x:v>
      </x:c>
    </x:row>
    <x:row r="6">
      <x:c r="A6" s="31" t="str">
        <x:v>Selling price/item (RMB)</x:v>
      </x:c>
      <x:c r="B6" s="36" t="n">
        <x:v>70</x:v>
      </x:c>
    </x:row>
    <x:row r="7">
      <x:c r="A7" s="31" t="str">
        <x:v>Unit cost (USD)</x:v>
      </x:c>
      <x:c r="B7" s="36" t="n">
        <x:v>5.17</x:v>
      </x:c>
    </x:row>
    <x:row r="8">
      <x:c r="A8" s="31" t="str">
        <x:v>Selling price/item (USD)</x:v>
      </x:c>
      <x:c r="B8" s="36" t="n">
        <x:v>10.35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c88cf6f49ca43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9.34000015258789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5</x:v>
      </x:c>
    </x:row>
    <x:row r="3">
      <x:c r="A3" s="31" t="str">
        <x:v>Product name</x:v>
      </x:c>
      <x:c r="B3" s="34" t="str">
        <x:v>Children's Denim Ankle-Length Pants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23</x:v>
      </x:c>
    </x:row>
    <x:row r="6">
      <x:c r="A6" s="31" t="str">
        <x:v>Selling price/item (RMB)</x:v>
      </x:c>
      <x:c r="B6" s="36" t="n">
        <x:v>46</x:v>
      </x:c>
    </x:row>
    <x:row r="7">
      <x:c r="A7" s="31" t="str">
        <x:v>Unit cost (USD)</x:v>
      </x:c>
      <x:c r="B7" s="36" t="n">
        <x:v>3.4</x:v>
      </x:c>
    </x:row>
    <x:row r="8">
      <x:c r="A8" s="31" t="str">
        <x:v>Selling price/item (USD)</x:v>
      </x:c>
      <x:c r="B8" s="36" t="n">
        <x:v>6.8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62d0aedf571434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7.41999816894531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6</x:v>
      </x:c>
    </x:row>
    <x:row r="3">
      <x:c r="A3" s="31" t="str">
        <x:v>Product name</x:v>
      </x:c>
      <x:c r="B3" s="34" t="str">
        <x:v>Children's Denim Casual Pants (Blue, Gold Rim)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23</x:v>
      </x:c>
    </x:row>
    <x:row r="6">
      <x:c r="A6" s="31" t="str">
        <x:v>Selling price/item (RMB)</x:v>
      </x:c>
      <x:c r="B6" s="36" t="n">
        <x:v>46</x:v>
      </x:c>
    </x:row>
    <x:row r="7">
      <x:c r="A7" s="31" t="str">
        <x:v>Unit cost (USD)</x:v>
      </x:c>
      <x:c r="B7" s="36" t="n">
        <x:v>3.4</x:v>
      </x:c>
    </x:row>
    <x:row r="8">
      <x:c r="A8" s="31" t="str">
        <x:v>Selling price/item (USD)</x:v>
      </x:c>
      <x:c r="B8" s="36" t="n">
        <x:v>6.8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c8824725df74fc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8.90000152587890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7</x:v>
      </x:c>
    </x:row>
    <x:row r="3">
      <x:c r="A3" s="31" t="str">
        <x:v>Product name</x:v>
      </x:c>
      <x:c r="B3" s="34" t="str">
        <x:v>Children's Casual Ankle-Length Pants (Navy Blue)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23</x:v>
      </x:c>
    </x:row>
    <x:row r="6">
      <x:c r="A6" s="31" t="str">
        <x:v>Selling price/item (RMB)</x:v>
      </x:c>
      <x:c r="B6" s="36" t="n">
        <x:v>46</x:v>
      </x:c>
    </x:row>
    <x:row r="7">
      <x:c r="A7" s="31" t="str">
        <x:v>Unit cost (USD)</x:v>
      </x:c>
      <x:c r="B7" s="36" t="n">
        <x:v>3.4</x:v>
      </x:c>
    </x:row>
    <x:row r="8">
      <x:c r="A8" s="31" t="str">
        <x:v>Selling price/item (USD)</x:v>
      </x:c>
      <x:c r="B8" s="36" t="n">
        <x:v>6.8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500db0fa1f01490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5.70999908447265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8</x:v>
      </x:c>
    </x:row>
    <x:row r="3">
      <x:c r="A3" s="31" t="str">
        <x:v>Product name</x:v>
      </x:c>
      <x:c r="B3" s="34" t="str">
        <x:v>Children's Casual Cargo Trousers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30</x:v>
      </x:c>
    </x:row>
    <x:row r="6">
      <x:c r="A6" s="31" t="str">
        <x:v>Selling price/item (RMB)</x:v>
      </x:c>
      <x:c r="B6" s="36" t="n">
        <x:v>60</x:v>
      </x:c>
    </x:row>
    <x:row r="7">
      <x:c r="A7" s="31" t="str">
        <x:v>Unit cost (USD)</x:v>
      </x:c>
      <x:c r="B7" s="36" t="n">
        <x:v>4.43</x:v>
      </x:c>
    </x:row>
    <x:row r="8">
      <x:c r="A8" s="31" t="str">
        <x:v>Selling price/item (USD)</x:v>
      </x:c>
      <x:c r="B8" s="36" t="n">
        <x:v>8.87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65e829766ee4bc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41.3199996948242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9</x:v>
      </x:c>
    </x:row>
    <x:row r="3">
      <x:c r="A3" s="31" t="str">
        <x:v>Product name</x:v>
      </x:c>
      <x:c r="B3" s="34" t="str">
        <x:v>Children's Long &amp; Short Sleeve Matching Suits (Red)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41</x:v>
      </x:c>
    </x:row>
    <x:row r="6">
      <x:c r="A6" s="31" t="str">
        <x:v>Selling price/item (RMB)</x:v>
      </x:c>
      <x:c r="B6" s="36" t="n">
        <x:v>82</x:v>
      </x:c>
    </x:row>
    <x:row r="7">
      <x:c r="A7" s="31" t="str">
        <x:v>Unit cost (USD)</x:v>
      </x:c>
      <x:c r="B7" s="36" t="n">
        <x:v>6.06</x:v>
      </x:c>
    </x:row>
    <x:row r="8">
      <x:c r="A8" s="31" t="str">
        <x:v>Selling price/item (USD)</x:v>
      </x:c>
      <x:c r="B8" s="36" t="n">
        <x:v>12.12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ae9a662d586407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42.259998321533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10</x:v>
      </x:c>
    </x:row>
    <x:row r="3">
      <x:c r="A3" s="31" t="str">
        <x:v>Product name</x:v>
      </x:c>
      <x:c r="B3" s="34" t="str">
        <x:v>Children's 2-Piece T-Shirt &amp; Shorts Suits (Light Green)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35</x:v>
      </x:c>
    </x:row>
    <x:row r="6">
      <x:c r="A6" s="31" t="str">
        <x:v>Selling price/item (RMB)</x:v>
      </x:c>
      <x:c r="B6" s="36" t="n">
        <x:v>70</x:v>
      </x:c>
    </x:row>
    <x:row r="7">
      <x:c r="A7" s="31" t="str">
        <x:v>Unit cost (USD)</x:v>
      </x:c>
      <x:c r="B7" s="36" t="n">
        <x:v>5.17</x:v>
      </x:c>
    </x:row>
    <x:row r="8">
      <x:c r="A8" s="31" t="str">
        <x:v>Selling price/item (USD)</x:v>
      </x:c>
      <x:c r="B8" s="36" t="n">
        <x:v>10.35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403d4792bbc4e2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9.11000061035156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11</x:v>
      </x:c>
    </x:row>
    <x:row r="3">
      <x:c r="A3" s="31" t="str">
        <x:v>Product name</x:v>
      </x:c>
      <x:c r="B3" s="34" t="str">
        <x:v>Ladies' Woven Sweaters</x:v>
      </x:c>
    </x:row>
    <x:row r="4">
      <x:c r="A4" s="31" t="str">
        <x:v>Initial stock quantity</x:v>
      </x:c>
      <x:c r="B4" s="34" t="n">
        <x:v>50</x:v>
      </x:c>
    </x:row>
    <x:row r="5">
      <x:c r="A5" s="31" t="str">
        <x:v>Unit cost (RMB)</x:v>
      </x:c>
      <x:c r="B5" s="36" t="n">
        <x:v>30</x:v>
      </x:c>
    </x:row>
    <x:row r="6">
      <x:c r="A6" s="31" t="str">
        <x:v>Selling price/item (RMB)</x:v>
      </x:c>
      <x:c r="B6" s="36" t="n">
        <x:v>60</x:v>
      </x:c>
    </x:row>
    <x:row r="7">
      <x:c r="A7" s="31" t="str">
        <x:v>Unit cost (USD)</x:v>
      </x:c>
      <x:c r="B7" s="36" t="n">
        <x:v>4.43</x:v>
      </x:c>
    </x:row>
    <x:row r="8">
      <x:c r="A8" s="31" t="str">
        <x:v>Selling price/item (USD)</x:v>
      </x:c>
      <x:c r="B8" s="36" t="n">
        <x:v>8.87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f763d681d8a04db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7.62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12</x:v>
      </x:c>
    </x:row>
    <x:row r="3">
      <x:c r="A3" s="31" t="str">
        <x:v>Product name</x:v>
      </x:c>
      <x:c r="B3" s="34" t="str">
        <x:v>Ladies' Denim Dresses</x:v>
      </x:c>
    </x:row>
    <x:row r="4">
      <x:c r="A4" s="31" t="str">
        <x:v>Initial stock quantity</x:v>
      </x:c>
      <x:c r="B4" s="34" t="n">
        <x:v>20</x:v>
      </x:c>
    </x:row>
    <x:row r="5">
      <x:c r="A5" s="31" t="str">
        <x:v>Unit cost (RMB)</x:v>
      </x:c>
      <x:c r="B5" s="36" t="n">
        <x:v>42</x:v>
      </x:c>
    </x:row>
    <x:row r="6">
      <x:c r="A6" s="31" t="str">
        <x:v>Selling price/item (RMB)</x:v>
      </x:c>
      <x:c r="B6" s="36" t="n">
        <x:v>84</x:v>
      </x:c>
    </x:row>
    <x:row r="7">
      <x:c r="A7" s="31" t="str">
        <x:v>Unit cost (USD)</x:v>
      </x:c>
      <x:c r="B7" s="36" t="n">
        <x:v>6.21</x:v>
      </x:c>
    </x:row>
    <x:row r="8">
      <x:c r="A8" s="31" t="str">
        <x:v>Selling price/item (USD)</x:v>
      </x:c>
      <x:c r="B8" s="36" t="n">
        <x:v>12.42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fbc5f3265504b0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9.479999542236328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13</x:v>
      </x:c>
    </x:row>
    <x:row r="3">
      <x:c r="A3" s="31" t="str">
        <x:v>Product name</x:v>
      </x:c>
      <x:c r="B3" s="34" t="str">
        <x:v>Men's Woven Sweaters (Style 19309)</x:v>
      </x:c>
    </x:row>
    <x:row r="4">
      <x:c r="A4" s="31" t="str">
        <x:v>Initial stock quantity</x:v>
      </x:c>
      <x:c r="B4" s="34" t="n">
        <x:v>12</x:v>
      </x:c>
    </x:row>
    <x:row r="5">
      <x:c r="A5" s="31" t="str">
        <x:v>Unit cost (RMB)</x:v>
      </x:c>
      <x:c r="B5" s="36" t="n">
        <x:v>35</x:v>
      </x:c>
    </x:row>
    <x:row r="6">
      <x:c r="A6" s="31" t="str">
        <x:v>Selling price/item (RMB)</x:v>
      </x:c>
      <x:c r="B6" s="36" t="n">
        <x:v>70</x:v>
      </x:c>
    </x:row>
    <x:row r="7">
      <x:c r="A7" s="31" t="str">
        <x:v>Unit cost (USD)</x:v>
      </x:c>
      <x:c r="B7" s="36" t="n">
        <x:v>5.17</x:v>
      </x:c>
    </x:row>
    <x:row r="8">
      <x:c r="A8" s="31" t="str">
        <x:v>Selling price/item (USD)</x:v>
      </x:c>
      <x:c r="B8" s="36" t="n">
        <x:v>10.35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12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12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12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12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12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12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12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12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12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12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12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12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12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12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12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12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12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12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12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12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12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12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12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12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12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12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12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12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12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12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12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12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12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12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12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12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12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12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12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12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12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12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12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12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12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12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12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12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12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12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12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12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12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12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12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12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12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12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12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12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12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12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12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12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12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12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12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12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12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12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12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12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12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12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12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12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12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12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12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12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12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12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12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12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12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12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12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12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12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12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12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12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12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12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12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12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12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12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12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12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12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12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12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12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12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12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12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12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12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12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12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12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12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12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12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12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12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12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12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12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12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12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12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12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12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12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12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12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12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12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12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12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12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12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12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12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12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12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12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12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12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12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12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12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12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12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12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12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12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12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12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12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12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12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12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12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12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12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12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12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12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12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12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12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12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12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12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12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12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12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12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12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12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12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12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12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12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12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12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12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12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12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12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12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12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12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12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12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12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12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12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12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12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12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12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12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12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12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12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12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687df12acf34ac6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8.530000686645508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14</x:v>
      </x:c>
    </x:row>
    <x:row r="3">
      <x:c r="A3" s="31" t="str">
        <x:v>Product name</x:v>
      </x:c>
      <x:c r="B3" s="34" t="str">
        <x:v>Men's Woven Sweaters (Style 8102)</x:v>
      </x:c>
    </x:row>
    <x:row r="4">
      <x:c r="A4" s="31" t="str">
        <x:v>Initial stock quantity</x:v>
      </x:c>
      <x:c r="B4" s="34" t="n">
        <x:v>12</x:v>
      </x:c>
    </x:row>
    <x:row r="5">
      <x:c r="A5" s="31" t="str">
        <x:v>Unit cost (RMB)</x:v>
      </x:c>
      <x:c r="B5" s="36" t="n">
        <x:v>30</x:v>
      </x:c>
    </x:row>
    <x:row r="6">
      <x:c r="A6" s="31" t="str">
        <x:v>Selling price/item (RMB)</x:v>
      </x:c>
      <x:c r="B6" s="36" t="n">
        <x:v>60</x:v>
      </x:c>
    </x:row>
    <x:row r="7">
      <x:c r="A7" s="31" t="str">
        <x:v>Unit cost (USD)</x:v>
      </x:c>
      <x:c r="B7" s="36" t="n">
        <x:v>4.43</x:v>
      </x:c>
    </x:row>
    <x:row r="8">
      <x:c r="A8" s="31" t="str">
        <x:v>Selling price/item (USD)</x:v>
      </x:c>
      <x:c r="B8" s="36" t="n">
        <x:v>8.87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12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12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12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12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12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12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12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12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12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12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12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12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12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12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12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12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12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12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12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12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12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12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12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12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12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12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12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12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12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12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12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12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12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12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12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12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12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12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12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12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12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12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12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12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12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12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12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12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12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12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12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12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12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12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12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12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12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12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12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12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12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12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12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12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12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12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12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12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12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12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12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12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12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12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12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12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12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12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12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12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12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12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12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12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12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12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12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12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12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12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12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12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12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12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12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12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12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12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12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12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12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12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12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12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12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12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12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12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12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12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12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12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12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12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12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12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12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12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12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12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12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12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12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12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12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12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12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12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12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12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12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12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12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12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12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12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12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12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12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12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12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12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12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12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12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12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12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12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12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12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12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12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12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12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12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12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12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12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12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12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12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12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12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12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12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12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12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12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12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12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12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12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12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12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12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12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12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12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12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12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12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12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12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12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12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12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12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12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12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12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12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12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12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12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12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12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12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12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12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12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fe9189eca214ea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8.67000007629394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15</x:v>
      </x:c>
    </x:row>
    <x:row r="3">
      <x:c r="A3" s="31" t="str">
        <x:v>Product name</x:v>
      </x:c>
      <x:c r="B3" s="34" t="str">
        <x:v>Commercial Stationery Writing Pens</x:v>
      </x:c>
    </x:row>
    <x:row r="4">
      <x:c r="A4" s="31" t="str">
        <x:v>Initial stock quantity</x:v>
      </x:c>
      <x:c r="B4" s="34" t="n">
        <x:v>88</x:v>
      </x:c>
    </x:row>
    <x:row r="5">
      <x:c r="A5" s="31" t="str">
        <x:v>Unit cost (RMB)</x:v>
      </x:c>
      <x:c r="B5" s="36" t="n">
        <x:v>3.5</x:v>
      </x:c>
    </x:row>
    <x:row r="6">
      <x:c r="A6" s="31" t="str">
        <x:v>Selling price/item (RMB)</x:v>
      </x:c>
      <x:c r="B6" s="36" t="n">
        <x:v>7</x:v>
      </x:c>
    </x:row>
    <x:row r="7">
      <x:c r="A7" s="31" t="str">
        <x:v>Unit cost (USD)</x:v>
      </x:c>
      <x:c r="B7" s="36" t="n">
        <x:v>0.52</x:v>
      </x:c>
    </x:row>
    <x:row r="8">
      <x:c r="A8" s="31" t="str">
        <x:v>Selling price/item (USD)</x:v>
      </x:c>
      <x:c r="B8" s="36" t="n">
        <x:v>1.03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88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88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88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88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88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88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88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88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88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88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88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88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88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88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88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88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88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88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88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88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88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88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88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88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88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88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88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88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88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88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88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88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88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88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88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88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88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88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88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88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88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88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88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88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88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88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88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88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88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88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88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88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88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88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88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88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88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88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88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88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88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88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88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88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88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88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88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88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88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88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88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88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88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88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88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88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88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88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88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88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88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88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88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88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88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88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88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88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88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88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88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88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88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88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88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88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88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88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88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88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88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88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88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88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88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88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88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88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88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88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88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88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88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88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88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88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88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88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88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88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88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88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88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88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88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88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88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88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88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88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88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88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88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88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88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88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88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88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88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88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88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88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88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88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88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88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88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88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88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88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88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88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88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88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88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88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88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88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88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88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88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88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88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88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88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88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88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88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88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88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88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88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88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88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88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88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88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88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88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88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88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88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88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88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88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88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88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88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88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88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88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88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88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88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88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88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88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88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88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88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28efd11983d422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8.5699996948242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16</x:v>
      </x:c>
    </x:row>
    <x:row r="3">
      <x:c r="A3" s="31" t="str">
        <x:v>Product name</x:v>
      </x:c>
      <x:c r="B3" s="34" t="str">
        <x:v>Ladies' Fashion Dresses</x:v>
      </x:c>
    </x:row>
    <x:row r="4">
      <x:c r="A4" s="31" t="str">
        <x:v>Initial stock quantity</x:v>
      </x:c>
      <x:c r="B4" s="34" t="n">
        <x:v>83</x:v>
      </x:c>
    </x:row>
    <x:row r="5">
      <x:c r="A5" s="31" t="str">
        <x:v>Unit cost (RMB)</x:v>
      </x:c>
      <x:c r="B5" s="36" t="n">
        <x:v>11.51</x:v>
      </x:c>
    </x:row>
    <x:row r="6">
      <x:c r="A6" s="31" t="str">
        <x:v>Selling price/item (RMB)</x:v>
      </x:c>
      <x:c r="B6" s="36" t="n">
        <x:v>23.02</x:v>
      </x:c>
    </x:row>
    <x:row r="7">
      <x:c r="A7" s="31" t="str">
        <x:v>Unit cost (USD)</x:v>
      </x:c>
      <x:c r="B7" s="36" t="n">
        <x:v>1.7</x:v>
      </x:c>
    </x:row>
    <x:row r="8">
      <x:c r="A8" s="31" t="str">
        <x:v>Selling price/item (USD)</x:v>
      </x:c>
      <x:c r="B8" s="36" t="n">
        <x:v>3.4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83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83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83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83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83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83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83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83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83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83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83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83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83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83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83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83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83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83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83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83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83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83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83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83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83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83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83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83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83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83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83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83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83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83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83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83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83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83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83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83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83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83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83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83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83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83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83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83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83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83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83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83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83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83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83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83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83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83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83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83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83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83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83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83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83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83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83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83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83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83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83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83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83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83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83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83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83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83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83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83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83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83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83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83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83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83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83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83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83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83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83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83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83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83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83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83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83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83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83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83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83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83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83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83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83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83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83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83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83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83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83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83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83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83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83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83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83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83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83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83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83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83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83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83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83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83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83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83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83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83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83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83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83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83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83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83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83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83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83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83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83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83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83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83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83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83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83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83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83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83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83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83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83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83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83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83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83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83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83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83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83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83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83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83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83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83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83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83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83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83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83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83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83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83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83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83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83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83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83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83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83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83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83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83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83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83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83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83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83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83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83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83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83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83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83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83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83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83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83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83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79535dbb580471f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6.290000915527344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17</x:v>
      </x:c>
    </x:row>
    <x:row r="3">
      <x:c r="A3" s="31" t="str">
        <x:v>Product name</x:v>
      </x:c>
      <x:c r="B3" s="34" t="str">
        <x:v>Ladies' Long Dresses</x:v>
      </x:c>
    </x:row>
    <x:row r="4">
      <x:c r="A4" s="31" t="str">
        <x:v>Initial stock quantity</x:v>
      </x:c>
      <x:c r="B4" s="34" t="n">
        <x:v>24</x:v>
      </x:c>
    </x:row>
    <x:row r="5">
      <x:c r="A5" s="31" t="str">
        <x:v>Unit cost (RMB)</x:v>
      </x:c>
      <x:c r="B5" s="36" t="n">
        <x:v>25</x:v>
      </x:c>
    </x:row>
    <x:row r="6">
      <x:c r="A6" s="31" t="str">
        <x:v>Selling price/item (RMB)</x:v>
      </x:c>
      <x:c r="B6" s="36" t="n">
        <x:v>50</x:v>
      </x:c>
    </x:row>
    <x:row r="7">
      <x:c r="A7" s="31" t="str">
        <x:v>Unit cost (USD)</x:v>
      </x:c>
      <x:c r="B7" s="36" t="n">
        <x:v>3.69</x:v>
      </x:c>
    </x:row>
    <x:row r="8">
      <x:c r="A8" s="31" t="str">
        <x:v>Selling price/item (USD)</x:v>
      </x:c>
      <x:c r="B8" s="36" t="n">
        <x:v>7.39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24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24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24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24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24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24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24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24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24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24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24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24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24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24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24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24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24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24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24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24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24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24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24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24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24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24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24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24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24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24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24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24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24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24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24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24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24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24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24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24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24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24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24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24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24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24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24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24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24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24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24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24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24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24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24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24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24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24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24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24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24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24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24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24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24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24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24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24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24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24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24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24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24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24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24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24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24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24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24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24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24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24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24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24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24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24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24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24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24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24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24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24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24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24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24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24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24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24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24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24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24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24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24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24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24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24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24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24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24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24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24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24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24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24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24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24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24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24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24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24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24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24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24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24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24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24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24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24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24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24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24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24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24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24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24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24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24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24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24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24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24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24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24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24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24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24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24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24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24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24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24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24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24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24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24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24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24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24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24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24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24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24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24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24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24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24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24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24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24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24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24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24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24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24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24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24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24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24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24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24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24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24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24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24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24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24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24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24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24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24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24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24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24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24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24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24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24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24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24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24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c7c7e8f608e416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6.6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18</x:v>
      </x:c>
    </x:row>
    <x:row r="3">
      <x:c r="A3" s="31" t="str">
        <x:v>Product name</x:v>
      </x:c>
      <x:c r="B3" s="34" t="str">
        <x:v>Ladies' Black Dresses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36d2cd7a5844b75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2.87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19</x:v>
      </x:c>
    </x:row>
    <x:row r="3">
      <x:c r="A3" s="31" t="str">
        <x:v>Product name</x:v>
      </x:c>
      <x:c r="B3" s="34" t="str">
        <x:v>Ladies' 2-Piece Suits (Brown)</x:v>
      </x:c>
    </x:row>
    <x:row r="4">
      <x:c r="A4" s="31" t="str">
        <x:v>Initial stock quantity</x:v>
      </x:c>
      <x:c r="B4" s="34" t="n">
        <x:v>1</x:v>
      </x:c>
    </x:row>
    <x:row r="5">
      <x:c r="A5" s="31" t="str">
        <x:v>Unit cost (RMB)</x:v>
      </x:c>
      <x:c r="B5" s="36" t="n">
        <x:v>40</x:v>
      </x:c>
    </x:row>
    <x:row r="6">
      <x:c r="A6" s="31" t="str">
        <x:v>Selling price/item (RMB)</x:v>
      </x:c>
      <x:c r="B6" s="36" t="n">
        <x:v>80</x:v>
      </x:c>
    </x:row>
    <x:row r="7">
      <x:c r="A7" s="31" t="str">
        <x:v>Unit cost (USD)</x:v>
      </x:c>
      <x:c r="B7" s="36" t="n">
        <x:v>5.91</x:v>
      </x:c>
    </x:row>
    <x:row r="8">
      <x:c r="A8" s="31" t="str">
        <x:v>Selling price/item (USD)</x:v>
      </x:c>
      <x:c r="B8" s="36" t="n">
        <x:v>11.82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3adf38377c9d458e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0.1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20</x:v>
      </x:c>
    </x:row>
    <x:row r="3">
      <x:c r="A3" s="31" t="str">
        <x:v>Product name</x:v>
      </x:c>
      <x:c r="B3" s="34" t="str">
        <x:v>Fashion Jackets (Maroon)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6750bcc25f449cf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7.36000061035156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21</x:v>
      </x:c>
    </x:row>
    <x:row r="3">
      <x:c r="A3" s="31" t="str">
        <x:v>Product name</x:v>
      </x:c>
      <x:c r="B3" s="34" t="str">
        <x:v>Fashion Jackets (Blue)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d903111f8e845d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5.17000007629394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22</x:v>
      </x:c>
    </x:row>
    <x:row r="3">
      <x:c r="A3" s="31" t="str">
        <x:v>Product name</x:v>
      </x:c>
      <x:c r="B3" s="34" t="str">
        <x:v>Ladies' Knitted Scarves (Style A)</x:v>
      </x:c>
    </x:row>
    <x:row r="4">
      <x:c r="A4" s="31" t="str">
        <x:v>Initial stock quantity</x:v>
      </x:c>
      <x:c r="B4" s="34" t="n">
        <x:v>20</x:v>
      </x:c>
    </x:row>
    <x:row r="5">
      <x:c r="A5" s="31" t="str">
        <x:v>Unit cost (RMB)</x:v>
      </x:c>
      <x:c r="B5" s="36" t="n">
        <x:v>17</x:v>
      </x:c>
    </x:row>
    <x:row r="6">
      <x:c r="A6" s="31" t="str">
        <x:v>Selling price/item (RMB)</x:v>
      </x:c>
      <x:c r="B6" s="36" t="n">
        <x:v>34</x:v>
      </x:c>
    </x:row>
    <x:row r="7">
      <x:c r="A7" s="31" t="str">
        <x:v>Unit cost (USD)</x:v>
      </x:c>
      <x:c r="B7" s="36" t="n">
        <x:v>2.51</x:v>
      </x:c>
    </x:row>
    <x:row r="8">
      <x:c r="A8" s="31" t="str">
        <x:v>Selling price/item (USD)</x:v>
      </x:c>
      <x:c r="B8" s="36" t="n">
        <x:v>5.03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257c16dff9ae41d9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5.70999908447265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23</x:v>
      </x:c>
    </x:row>
    <x:row r="3">
      <x:c r="A3" s="31" t="str">
        <x:v>Product name</x:v>
      </x:c>
      <x:c r="B3" s="34" t="str">
        <x:v>Ladies' Woven Ponchos / Shawls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38</x:v>
      </x:c>
    </x:row>
    <x:row r="6">
      <x:c r="A6" s="31" t="str">
        <x:v>Selling price/item (RMB)</x:v>
      </x:c>
      <x:c r="B6" s="36" t="n">
        <x:v>76</x:v>
      </x:c>
    </x:row>
    <x:row r="7">
      <x:c r="A7" s="31" t="str">
        <x:v>Unit cost (USD)</x:v>
      </x:c>
      <x:c r="B7" s="36" t="n">
        <x:v>5.62</x:v>
      </x:c>
    </x:row>
    <x:row r="8">
      <x:c r="A8" s="31" t="str">
        <x:v>Selling price/item (USD)</x:v>
      </x:c>
      <x:c r="B8" s="36" t="n">
        <x:v>11.23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894fe4a43a2c4a2e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1.12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24</x:v>
      </x:c>
    </x:row>
    <x:row r="3">
      <x:c r="A3" s="31" t="str">
        <x:v>Product name</x:v>
      </x:c>
      <x:c r="B3" s="34" t="str">
        <x:v>Ladies' Textile Head Wraps</x:v>
      </x:c>
    </x:row>
    <x:row r="4">
      <x:c r="A4" s="31" t="str">
        <x:v>Initial stock quantity</x:v>
      </x:c>
      <x:c r="B4" s="34" t="n">
        <x:v>22</x:v>
      </x:c>
    </x:row>
    <x:row r="5">
      <x:c r="A5" s="31" t="str">
        <x:v>Unit cost (RMB)</x:v>
      </x:c>
      <x:c r="B5" s="36" t="n">
        <x:v>5</x:v>
      </x:c>
    </x:row>
    <x:row r="6">
      <x:c r="A6" s="31" t="str">
        <x:v>Selling price/item (RMB)</x:v>
      </x:c>
      <x:c r="B6" s="36" t="n">
        <x:v>10</x:v>
      </x:c>
    </x:row>
    <x:row r="7">
      <x:c r="A7" s="31" t="str">
        <x:v>Unit cost (USD)</x:v>
      </x:c>
      <x:c r="B7" s="36" t="n">
        <x:v>0.74</x:v>
      </x:c>
    </x:row>
    <x:row r="8">
      <x:c r="A8" s="31" t="str">
        <x:v>Selling price/item (USD)</x:v>
      </x:c>
      <x:c r="B8" s="36" t="n">
        <x:v>1.48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22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22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22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22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22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22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22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22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22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22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22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22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22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22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22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22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22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22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22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22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22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22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22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22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22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22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22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22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22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22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22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22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22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22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22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22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22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22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22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22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22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22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22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22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22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22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22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22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22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22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22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22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22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22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22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22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22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22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22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22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22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22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22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22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22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22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22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22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22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22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22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22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22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22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22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22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22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22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22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22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22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22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22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22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22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22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22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22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22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22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22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22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22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22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22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22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22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22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22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22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22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22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22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22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22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22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22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22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22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22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22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22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22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22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22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22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22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22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22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22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22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22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22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22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22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22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22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22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22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22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22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22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22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22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22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22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22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22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22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22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22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22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22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22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22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22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22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22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22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22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22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22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22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22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22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22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22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22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22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22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22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22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22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22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22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22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22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22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22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22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22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22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22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22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22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22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22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22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22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22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22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22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22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22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22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22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22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22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22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22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22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22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22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22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22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22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22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22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22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22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b5a0cb4afce488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7.59000015258789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25</x:v>
      </x:c>
    </x:row>
    <x:row r="3">
      <x:c r="A3" s="31" t="str">
        <x:v>Product name</x:v>
      </x:c>
      <x:c r="B3" s="34" t="str">
        <x:v>Ladies' Sleeveless Ponchos / Capes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26</x:v>
      </x:c>
    </x:row>
    <x:row r="6">
      <x:c r="A6" s="31" t="str">
        <x:v>Selling price/item (RMB)</x:v>
      </x:c>
      <x:c r="B6" s="36" t="n">
        <x:v>52</x:v>
      </x:c>
    </x:row>
    <x:row r="7">
      <x:c r="A7" s="31" t="str">
        <x:v>Unit cost (USD)</x:v>
      </x:c>
      <x:c r="B7" s="36" t="n">
        <x:v>3.84</x:v>
      </x:c>
    </x:row>
    <x:row r="8">
      <x:c r="A8" s="31" t="str">
        <x:v>Selling price/item (USD)</x:v>
      </x:c>
      <x:c r="B8" s="36" t="n">
        <x:v>7.69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38d8d5d0cd545d4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8.67000007629394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26</x:v>
      </x:c>
    </x:row>
    <x:row r="3">
      <x:c r="A3" s="31" t="str">
        <x:v>Product name</x:v>
      </x:c>
      <x:c r="B3" s="34" t="str">
        <x:v>Ladies' Lightweight Scarves (Style B)</x:v>
      </x:c>
    </x:row>
    <x:row r="4">
      <x:c r="A4" s="31" t="str">
        <x:v>Initial stock quantity</x:v>
      </x:c>
      <x:c r="B4" s="34" t="n">
        <x:v>20</x:v>
      </x:c>
    </x:row>
    <x:row r="5">
      <x:c r="A5" s="31" t="str">
        <x:v>Unit cost (RMB)</x:v>
      </x:c>
      <x:c r="B5" s="36" t="n">
        <x:v>10</x:v>
      </x:c>
    </x:row>
    <x:row r="6">
      <x:c r="A6" s="31" t="str">
        <x:v>Selling price/item (RMB)</x:v>
      </x:c>
      <x:c r="B6" s="36" t="n">
        <x:v>20</x:v>
      </x:c>
    </x:row>
    <x:row r="7">
      <x:c r="A7" s="31" t="str">
        <x:v>Unit cost (USD)</x:v>
      </x:c>
      <x:c r="B7" s="36" t="n">
        <x:v>1.48</x:v>
      </x:c>
    </x:row>
    <x:row r="8">
      <x:c r="A8" s="31" t="str">
        <x:v>Selling price/item (USD)</x:v>
      </x:c>
      <x:c r="B8" s="36" t="n">
        <x:v>2.96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9c222a6345f4b52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1.489999771118164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27</x:v>
      </x:c>
    </x:row>
    <x:row r="3">
      <x:c r="A3" s="31" t="str">
        <x:v>Product name</x:v>
      </x:c>
      <x:c r="B3" s="34" t="str">
        <x:v>Ladies' Fashion Dresses (Green &amp; Black)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65aa17ec36f45b0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7.62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28</x:v>
      </x:c>
    </x:row>
    <x:row r="3">
      <x:c r="A3" s="31" t="str">
        <x:v>Product name</x:v>
      </x:c>
      <x:c r="B3" s="34" t="str">
        <x:v>Ladies' Denim Dresses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060e2790ffc4d60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9.649999618530273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29</x:v>
      </x:c>
    </x:row>
    <x:row r="3">
      <x:c r="A3" s="31" t="str">
        <x:v>Product name</x:v>
      </x:c>
      <x:c r="B3" s="34" t="str">
        <x:v>Ladies' Small Pouch Bags</x:v>
      </x:c>
    </x:row>
    <x:row r="4">
      <x:c r="A4" s="31" t="str">
        <x:v>Initial stock quantity</x:v>
      </x:c>
      <x:c r="B4" s="34" t="n">
        <x:v>8</x:v>
      </x:c>
    </x:row>
    <x:row r="5">
      <x:c r="A5" s="31" t="str">
        <x:v>Unit cost (RMB)</x:v>
      </x:c>
      <x:c r="B5" s="36" t="n">
        <x:v>25</x:v>
      </x:c>
    </x:row>
    <x:row r="6">
      <x:c r="A6" s="31" t="str">
        <x:v>Selling price/item (RMB)</x:v>
      </x:c>
      <x:c r="B6" s="36" t="n">
        <x:v>50</x:v>
      </x:c>
    </x:row>
    <x:row r="7">
      <x:c r="A7" s="31" t="str">
        <x:v>Unit cost (USD)</x:v>
      </x:c>
      <x:c r="B7" s="36" t="n">
        <x:v>3.69</x:v>
      </x:c>
    </x:row>
    <x:row r="8">
      <x:c r="A8" s="31" t="str">
        <x:v>Selling price/item (USD)</x:v>
      </x:c>
      <x:c r="B8" s="36" t="n">
        <x:v>7.39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8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8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8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8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8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8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8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8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8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8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8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8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8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8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8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8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8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8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8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8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8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8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8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8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8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8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8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8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8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8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8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8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8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8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8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8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8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8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8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8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8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8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8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8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8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8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8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8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8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8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8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8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8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8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8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8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8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8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8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8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8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8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8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8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8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8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8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8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8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8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8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8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8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8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8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8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8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8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8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8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8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8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8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8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8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8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8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8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8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8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8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8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8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8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8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8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8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8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8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8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8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8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8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8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8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8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8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8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8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8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8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8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8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8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8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8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8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8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8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8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8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8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8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8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8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8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8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8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8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8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8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8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8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8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8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8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8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8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8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8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8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8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8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8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8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8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8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8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8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8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8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8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8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8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8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8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8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8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8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8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8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8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8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8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8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8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8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8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8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8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8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8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8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8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8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8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8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8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8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8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8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8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8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8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8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8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8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8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8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8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8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8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8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8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8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8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8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8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8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8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e81650fc56c4ce0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3.280000686645508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30</x:v>
      </x:c>
    </x:row>
    <x:row r="3">
      <x:c r="A3" s="31" t="str">
        <x:v>Product name</x:v>
      </x:c>
      <x:c r="B3" s="34" t="str">
        <x:v>Casual Sports Shoes / Takkies</x:v>
      </x:c>
    </x:row>
    <x:row r="4">
      <x:c r="A4" s="31" t="str">
        <x:v>Initial stock quantity</x:v>
      </x:c>
      <x:c r="B4" s="34" t="n">
        <x:v>11</x:v>
      </x:c>
    </x:row>
    <x:row r="5">
      <x:c r="A5" s="31" t="str">
        <x:v>Unit cost (RMB)</x:v>
      </x:c>
      <x:c r="B5" s="36" t="n">
        <x:v>55</x:v>
      </x:c>
    </x:row>
    <x:row r="6">
      <x:c r="A6" s="31" t="str">
        <x:v>Selling price/item (RMB)</x:v>
      </x:c>
      <x:c r="B6" s="36" t="n">
        <x:v>110</x:v>
      </x:c>
    </x:row>
    <x:row r="7">
      <x:c r="A7" s="31" t="str">
        <x:v>Unit cost (USD)</x:v>
      </x:c>
      <x:c r="B7" s="36" t="n">
        <x:v>8.13</x:v>
      </x:c>
    </x:row>
    <x:row r="8">
      <x:c r="A8" s="31" t="str">
        <x:v>Selling price/item (USD)</x:v>
      </x:c>
      <x:c r="B8" s="36" t="n">
        <x:v>16.26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11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11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11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11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11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11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11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11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11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11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11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11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11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11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11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11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11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11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11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11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11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11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11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11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11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11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11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11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11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11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11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11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11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11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11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11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11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11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11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11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11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11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11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11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11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11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11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11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11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11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11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11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11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11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11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11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11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11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11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11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11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11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11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11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11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11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11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11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11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11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11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11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11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11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11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11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11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11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11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11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11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11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11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11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11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11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11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11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11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11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11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11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11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11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11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11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11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11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11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11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11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11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11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11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11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11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11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11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11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11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11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11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11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11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11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11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11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11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11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11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11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11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11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11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11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11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11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11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11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11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11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11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11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11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11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11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11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11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11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11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11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11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11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11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11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11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11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11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11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11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11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11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11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11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11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11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11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11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11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11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11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11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11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11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11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11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11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11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11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11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11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11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11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11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11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11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11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11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11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11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11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11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11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11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11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11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11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11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11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11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11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11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11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11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11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11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11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11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11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11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617e2d42149452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3.1100006103515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31</x:v>
      </x:c>
    </x:row>
    <x:row r="3">
      <x:c r="A3" s="31" t="str">
        <x:v>Product name</x:v>
      </x:c>
      <x:c r="B3" s="34" t="str">
        <x:v>Smart Audio Eyewear (Bluetooth Glasses)</x:v>
      </x:c>
    </x:row>
    <x:row r="4">
      <x:c r="A4" s="31" t="str">
        <x:v>Initial stock quantity</x:v>
      </x:c>
      <x:c r="B4" s="34" t="n">
        <x:v>27</x:v>
      </x:c>
    </x:row>
    <x:row r="5">
      <x:c r="A5" s="31" t="str">
        <x:v>Unit cost (RMB)</x:v>
      </x:c>
      <x:c r="B5" s="36" t="n">
        <x:v>50</x:v>
      </x:c>
    </x:row>
    <x:row r="6">
      <x:c r="A6" s="31" t="str">
        <x:v>Selling price/item (RMB)</x:v>
      </x:c>
      <x:c r="B6" s="36" t="n">
        <x:v>100</x:v>
      </x:c>
    </x:row>
    <x:row r="7">
      <x:c r="A7" s="31" t="str">
        <x:v>Unit cost (USD)</x:v>
      </x:c>
      <x:c r="B7" s="36" t="n">
        <x:v>7.39</x:v>
      </x:c>
    </x:row>
    <x:row r="8">
      <x:c r="A8" s="31" t="str">
        <x:v>Selling price/item (USD)</x:v>
      </x:c>
      <x:c r="B8" s="36" t="n">
        <x:v>14.78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27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27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27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27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27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27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27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27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27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27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27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27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27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27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27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27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27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27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27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27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27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27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27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27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27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27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27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27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27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27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27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27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27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27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27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27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27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27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27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27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27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27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27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27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27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27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27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27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27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27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27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27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27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27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27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27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27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27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27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27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27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27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27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27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27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27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27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27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27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27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27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27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27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27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27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27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27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27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27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27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27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27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27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27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27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27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27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27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27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27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27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27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27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27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27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27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27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27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27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27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27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27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27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27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27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27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27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27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27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27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27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27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27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27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27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27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27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27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27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27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27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27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27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27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27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27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27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27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27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27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27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27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27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27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27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27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27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27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27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27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27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27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27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27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27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27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27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27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27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27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27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27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27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27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27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27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27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27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27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27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27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27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27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27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27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27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27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27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27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27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27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27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27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27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27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27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27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27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27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27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27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27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27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27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27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27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27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27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27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27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27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27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27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27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27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27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27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27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27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27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f701e0711534cc7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45.4900016784668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32</x:v>
      </x:c>
    </x:row>
    <x:row r="3">
      <x:c r="A3" s="31" t="str">
        <x:v>Product name</x:v>
      </x:c>
      <x:c r="B3" s="34" t="str">
        <x:v>Dual-Function USB Wall Power Adapters (Phone Charger)</x:v>
      </x:c>
    </x:row>
    <x:row r="4">
      <x:c r="A4" s="31" t="str">
        <x:v>Initial stock quantity</x:v>
      </x:c>
      <x:c r="B4" s="34" t="n">
        <x:v>100</x:v>
      </x:c>
    </x:row>
    <x:row r="5">
      <x:c r="A5" s="31" t="str">
        <x:v>Unit cost (RMB)</x:v>
      </x:c>
      <x:c r="B5" s="36" t="n">
        <x:v>6</x:v>
      </x:c>
    </x:row>
    <x:row r="6">
      <x:c r="A6" s="31" t="str">
        <x:v>Selling price/item (RMB)</x:v>
      </x:c>
      <x:c r="B6" s="36" t="n">
        <x:v>12</x:v>
      </x:c>
    </x:row>
    <x:row r="7">
      <x:c r="A7" s="31" t="str">
        <x:v>Unit cost (USD)</x:v>
      </x:c>
      <x:c r="B7" s="36" t="n">
        <x:v>0.89</x:v>
      </x:c>
    </x:row>
    <x:row r="8">
      <x:c r="A8" s="31" t="str">
        <x:v>Selling price/item (USD)</x:v>
      </x:c>
      <x:c r="B8" s="36" t="n">
        <x:v>1.77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c78b4712e5b4219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5.29999923706054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33</x:v>
      </x:c>
    </x:row>
    <x:row r="3">
      <x:c r="A3" s="31" t="str">
        <x:v>Product name</x:v>
      </x:c>
      <x:c r="B3" s="34" t="str">
        <x:v>Ladies' Fashion T-Shirts (Type A)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52</x:v>
      </x:c>
    </x:row>
    <x:row r="6">
      <x:c r="A6" s="31" t="str">
        <x:v>Selling price/item (RMB)</x:v>
      </x:c>
      <x:c r="B6" s="36" t="n">
        <x:v>104</x:v>
      </x:c>
    </x:row>
    <x:row r="7">
      <x:c r="A7" s="31" t="str">
        <x:v>Unit cost (USD)</x:v>
      </x:c>
      <x:c r="B7" s="36" t="n">
        <x:v>7.69</x:v>
      </x:c>
    </x:row>
    <x:row r="8">
      <x:c r="A8" s="31" t="str">
        <x:v>Selling price/item (USD)</x:v>
      </x:c>
      <x:c r="B8" s="36" t="n">
        <x:v>15.37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9532548045640d0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5.29999923706054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34</x:v>
      </x:c>
    </x:row>
    <x:row r="3">
      <x:c r="A3" s="31" t="str">
        <x:v>Product name</x:v>
      </x:c>
      <x:c r="B3" s="34" t="str">
        <x:v>Ladies' Fashion T-Shirts (Type B)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46</x:v>
      </x:c>
    </x:row>
    <x:row r="6">
      <x:c r="A6" s="31" t="str">
        <x:v>Selling price/item (RMB)</x:v>
      </x:c>
      <x:c r="B6" s="36" t="n">
        <x:v>92</x:v>
      </x:c>
    </x:row>
    <x:row r="7">
      <x:c r="A7" s="31" t="str">
        <x:v>Unit cost (USD)</x:v>
      </x:c>
      <x:c r="B7" s="36" t="n">
        <x:v>6.8</x:v>
      </x:c>
    </x:row>
    <x:row r="8">
      <x:c r="A8" s="31" t="str">
        <x:v>Selling price/item (USD)</x:v>
      </x:c>
      <x:c r="B8" s="36" t="n">
        <x:v>13.6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9b1a80646934105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6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35</x:v>
      </x:c>
    </x:row>
    <x:row r="3">
      <x:c r="A3" s="31" t="str">
        <x:v>Product name</x:v>
      </x:c>
      <x:c r="B3" s="34" t="str">
        <x:v>Ladies' Fashion Cargo Dresses (Style A)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110</x:v>
      </x:c>
    </x:row>
    <x:row r="6">
      <x:c r="A6" s="31" t="str">
        <x:v>Selling price/item (RMB)</x:v>
      </x:c>
      <x:c r="B6" s="36" t="n">
        <x:v>220</x:v>
      </x:c>
    </x:row>
    <x:row r="7">
      <x:c r="A7" s="31" t="str">
        <x:v>Unit cost (USD)</x:v>
      </x:c>
      <x:c r="B7" s="36" t="n">
        <x:v>16.26</x:v>
      </x:c>
    </x:row>
    <x:row r="8">
      <x:c r="A8" s="31" t="str">
        <x:v>Selling price/item (USD)</x:v>
      </x:c>
      <x:c r="B8" s="36" t="n">
        <x:v>32.52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64a28c09b9346f4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6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36</x:v>
      </x:c>
    </x:row>
    <x:row r="3">
      <x:c r="A3" s="31" t="str">
        <x:v>Product name</x:v>
      </x:c>
      <x:c r="B3" s="34" t="str">
        <x:v>Ladies' Fashion Cargo Dresses (Style B)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120</x:v>
      </x:c>
    </x:row>
    <x:row r="6">
      <x:c r="A6" s="31" t="str">
        <x:v>Selling price/item (RMB)</x:v>
      </x:c>
      <x:c r="B6" s="36" t="n">
        <x:v>240</x:v>
      </x:c>
    </x:row>
    <x:row r="7">
      <x:c r="A7" s="31" t="str">
        <x:v>Unit cost (USD)</x:v>
      </x:c>
      <x:c r="B7" s="36" t="n">
        <x:v>17.74</x:v>
      </x:c>
    </x:row>
    <x:row r="8">
      <x:c r="A8" s="31" t="str">
        <x:v>Selling price/item (USD)</x:v>
      </x:c>
      <x:c r="B8" s="36" t="n">
        <x:v>35.47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d59b43871e44a1b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3.729999542236328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37</x:v>
      </x:c>
    </x:row>
    <x:row r="3">
      <x:c r="A3" s="31" t="str">
        <x:v>Product name</x:v>
      </x:c>
      <x:c r="B3" s="34" t="str">
        <x:v>Knitted Sweaters</x:v>
      </x:c>
    </x:row>
    <x:row r="4">
      <x:c r="A4" s="31" t="str">
        <x:v>Initial stock quantity</x:v>
      </x:c>
      <x:c r="B4" s="34" t="n">
        <x:v>81</x:v>
      </x:c>
    </x:row>
    <x:row r="5">
      <x:c r="A5" s="31" t="str">
        <x:v>Unit cost (RMB)</x:v>
      </x:c>
      <x:c r="B5" s="36" t="n">
        <x:v>37</x:v>
      </x:c>
    </x:row>
    <x:row r="6">
      <x:c r="A6" s="31" t="str">
        <x:v>Selling price/item (RMB)</x:v>
      </x:c>
      <x:c r="B6" s="36" t="n">
        <x:v>74</x:v>
      </x:c>
    </x:row>
    <x:row r="7">
      <x:c r="A7" s="31" t="str">
        <x:v>Unit cost (USD)</x:v>
      </x:c>
      <x:c r="B7" s="36" t="n">
        <x:v>5.47</x:v>
      </x:c>
    </x:row>
    <x:row r="8">
      <x:c r="A8" s="31" t="str">
        <x:v>Selling price/item (USD)</x:v>
      </x:c>
      <x:c r="B8" s="36" t="n">
        <x:v>10.94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81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81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81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81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81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81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81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81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81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81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81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81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81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81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81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81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81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81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81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81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81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81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81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81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81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81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81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81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81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81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81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81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81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81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81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81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81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81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81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81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81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81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81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81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81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81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81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81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81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81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81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81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81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81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81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81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81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81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81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81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81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81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81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81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81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81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81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81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81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81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81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81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81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81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81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81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81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81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81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81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81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81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81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81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81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81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81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81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81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81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81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81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81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81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81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81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81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81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81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81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81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81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81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81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81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81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81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81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81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81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81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81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81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81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81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81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81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81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81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81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81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81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81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81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81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81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81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81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81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81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81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81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81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81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81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81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81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81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81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81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81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81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81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81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81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81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81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81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81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81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81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81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81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81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81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81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81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81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81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81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81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81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81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81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81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81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81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81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81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81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81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81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81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81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81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81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81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81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81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81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81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81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81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81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81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81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81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81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81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81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81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81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81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81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81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81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81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81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81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81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1b50994b984498d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7.77000045776367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38</x:v>
      </x:c>
    </x:row>
    <x:row r="3">
      <x:c r="A3" s="31" t="str">
        <x:v>Product name</x:v>
      </x:c>
      <x:c r="B3" s="34" t="str">
        <x:v>Men's Fashion T-Shirts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a87811ffda849e1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16.8199996948242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39</x:v>
      </x:c>
    </x:row>
    <x:row r="3">
      <x:c r="A3" s="31" t="str">
        <x:v>Product name</x:v>
      </x:c>
      <x:c r="B3" s="34" t="str">
        <x:v>Ladies' Fashion Skirts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38</x:v>
      </x:c>
    </x:row>
    <x:row r="6">
      <x:c r="A6" s="31" t="str">
        <x:v>Selling price/item (RMB)</x:v>
      </x:c>
      <x:c r="B6" s="36" t="n">
        <x:v>76</x:v>
      </x:c>
    </x:row>
    <x:row r="7">
      <x:c r="A7" s="31" t="str">
        <x:v>Unit cost (USD)</x:v>
      </x:c>
      <x:c r="B7" s="36" t="n">
        <x:v>5.62</x:v>
      </x:c>
    </x:row>
    <x:row r="8">
      <x:c r="A8" s="31" t="str">
        <x:v>Selling price/item (USD)</x:v>
      </x:c>
      <x:c r="B8" s="36" t="n">
        <x:v>11.23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8fb8e9bd1634573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2.61000061035156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40</x:v>
      </x:c>
    </x:row>
    <x:row r="3">
      <x:c r="A3" s="31" t="str">
        <x:v>Product name</x:v>
      </x:c>
      <x:c r="B3" s="34" t="str">
        <x:v>High-Speed USB Data Cables</x:v>
      </x:c>
    </x:row>
    <x:row r="4">
      <x:c r="A4" s="31" t="str">
        <x:v>Initial stock quantity</x:v>
      </x:c>
      <x:c r="B4" s="34" t="n">
        <x:v>100</x:v>
      </x:c>
    </x:row>
    <x:row r="5">
      <x:c r="A5" s="31" t="str">
        <x:v>Unit cost (RMB)</x:v>
      </x:c>
      <x:c r="B5" s="36" t="n">
        <x:v>1.5</x:v>
      </x:c>
    </x:row>
    <x:row r="6">
      <x:c r="A6" s="31" t="str">
        <x:v>Selling price/item (RMB)</x:v>
      </x:c>
      <x:c r="B6" s="36" t="n">
        <x:v>3</x:v>
      </x:c>
    </x:row>
    <x:row r="7">
      <x:c r="A7" s="31" t="str">
        <x:v>Unit cost (USD)</x:v>
      </x:c>
      <x:c r="B7" s="36" t="n">
        <x:v>0.22</x:v>
      </x:c>
    </x:row>
    <x:row r="8">
      <x:c r="A8" s="31" t="str">
        <x:v>Selling price/item (USD)</x:v>
      </x:c>
      <x:c r="B8" s="36" t="n">
        <x:v>0.44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8bc8548729444b5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4.4500007629394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41</x:v>
      </x:c>
    </x:row>
    <x:row r="3">
      <x:c r="A3" s="31" t="str">
        <x:v>Product name</x:v>
      </x:c>
      <x:c r="B3" s="34" t="str">
        <x:v>Children's Fashion Dresses (Yellow/Orange)</x:v>
      </x:c>
    </x:row>
    <x:row r="4">
      <x:c r="A4" s="31" t="str">
        <x:v>Initial stock quantity</x:v>
      </x:c>
      <x:c r="B4" s="34" t="n">
        <x:v>4</x:v>
      </x:c>
    </x:row>
    <x:row r="5">
      <x:c r="A5" s="31" t="str">
        <x:v>Unit cost (RMB)</x:v>
      </x:c>
      <x:c r="B5" s="36" t="n">
        <x:v>29</x:v>
      </x:c>
    </x:row>
    <x:row r="6">
      <x:c r="A6" s="31" t="str">
        <x:v>Selling price/item (RMB)</x:v>
      </x:c>
      <x:c r="B6" s="36" t="n">
        <x:v>58</x:v>
      </x:c>
    </x:row>
    <x:row r="7">
      <x:c r="A7" s="31" t="str">
        <x:v>Unit cost (USD)</x:v>
      </x:c>
      <x:c r="B7" s="36" t="n">
        <x:v>4.29</x:v>
      </x:c>
    </x:row>
    <x:row r="8">
      <x:c r="A8" s="31" t="str">
        <x:v>Selling price/item (USD)</x:v>
      </x:c>
      <x:c r="B8" s="36" t="n">
        <x:v>8.57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4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4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4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4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4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4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4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4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4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4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4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4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4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4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4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4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4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4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4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4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4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4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4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4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4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4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4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4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4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4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4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4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4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4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4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4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4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4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4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4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4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4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4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4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4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4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4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4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4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4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4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4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4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4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4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4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4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4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4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4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4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4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4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4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4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4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4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4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4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4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4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4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4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4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4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4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4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4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4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4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4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4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4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4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4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4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4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4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4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4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4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4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4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4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4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4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4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4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4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4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4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4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4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4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4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4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4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4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4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4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4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4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4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4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4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4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4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4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4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4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4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4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4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4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4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4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4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4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4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4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4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4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4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4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4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4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4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4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4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4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4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4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4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4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4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4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4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4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4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4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4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4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4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4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4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4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4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4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4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4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4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4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4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4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4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4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4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4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4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4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4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4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4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4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4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4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4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4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4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4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4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4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4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4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4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4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4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4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4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4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4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4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4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4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4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4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4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4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4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4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c2910b1a67546f9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4.09000015258789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42</x:v>
      </x:c>
    </x:row>
    <x:row r="3">
      <x:c r="A3" s="31" t="str">
        <x:v>Product name</x:v>
      </x:c>
      <x:c r="B3" s="34" t="str">
        <x:v>Ladies' Straight Dresses (Long)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28</x:v>
      </x:c>
    </x:row>
    <x:row r="6">
      <x:c r="A6" s="31" t="str">
        <x:v>Selling price/item (RMB)</x:v>
      </x:c>
      <x:c r="B6" s="36" t="n">
        <x:v>56</x:v>
      </x:c>
    </x:row>
    <x:row r="7">
      <x:c r="A7" s="31" t="str">
        <x:v>Unit cost (USD)</x:v>
      </x:c>
      <x:c r="B7" s="36" t="n">
        <x:v>4.14</x:v>
      </x:c>
    </x:row>
    <x:row r="8">
      <x:c r="A8" s="31" t="str">
        <x:v>Selling price/item (USD)</x:v>
      </x:c>
      <x:c r="B8" s="36" t="n">
        <x:v>8.28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306a7d457c8429f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4.6299991607666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43</x:v>
      </x:c>
    </x:row>
    <x:row r="3">
      <x:c r="A3" s="31" t="str">
        <x:v>Product name</x:v>
      </x:c>
      <x:c r="B3" s="34" t="str">
        <x:v>Ladies' Straight Dresses (Short)</x:v>
      </x:c>
    </x:row>
    <x:row r="4">
      <x:c r="A4" s="31" t="str">
        <x:v>Initial stock quantity</x:v>
      </x:c>
      <x:c r="B4" s="34" t="n">
        <x:v>10</x:v>
      </x:c>
    </x:row>
    <x:row r="5">
      <x:c r="A5" s="31" t="str">
        <x:v>Unit cost (RMB)</x:v>
      </x:c>
      <x:c r="B5" s="36" t="n">
        <x:v>25</x:v>
      </x:c>
    </x:row>
    <x:row r="6">
      <x:c r="A6" s="31" t="str">
        <x:v>Selling price/item (RMB)</x:v>
      </x:c>
      <x:c r="B6" s="36" t="n">
        <x:v>50</x:v>
      </x:c>
    </x:row>
    <x:row r="7">
      <x:c r="A7" s="31" t="str">
        <x:v>Unit cost (USD)</x:v>
      </x:c>
      <x:c r="B7" s="36" t="n">
        <x:v>3.69</x:v>
      </x:c>
    </x:row>
    <x:row r="8">
      <x:c r="A8" s="31" t="str">
        <x:v>Selling price/item (USD)</x:v>
      </x:c>
      <x:c r="B8" s="36" t="n">
        <x:v>7.39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c21c040b3664f3d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149999618530273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44</x:v>
      </x:c>
    </x:row>
    <x:row r="3">
      <x:c r="A3" s="31" t="str">
        <x:v>Product name</x:v>
      </x:c>
      <x:c r="B3" s="34" t="str">
        <x:v>Ladies' Colorful Long Dresses (Style A)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45</x:v>
      </x:c>
    </x:row>
    <x:row r="6">
      <x:c r="A6" s="31" t="str">
        <x:v>Selling price/item (RMB)</x:v>
      </x:c>
      <x:c r="B6" s="36" t="n">
        <x:v>90</x:v>
      </x:c>
    </x:row>
    <x:row r="7">
      <x:c r="A7" s="31" t="str">
        <x:v>Unit cost (USD)</x:v>
      </x:c>
      <x:c r="B7" s="36" t="n">
        <x:v>6.65</x:v>
      </x:c>
    </x:row>
    <x:row r="8">
      <x:c r="A8" s="31" t="str">
        <x:v>Selling price/item (USD)</x:v>
      </x:c>
      <x:c r="B8" s="36" t="n">
        <x:v>13.3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5b3747770fd4995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149999618530273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45</x:v>
      </x:c>
    </x:row>
    <x:row r="3">
      <x:c r="A3" s="31" t="str">
        <x:v>Product name</x:v>
      </x:c>
      <x:c r="B3" s="34" t="str">
        <x:v>Ladies' Colorful Long Dresses (Style B)</x:v>
      </x:c>
    </x:row>
    <x:row r="4">
      <x:c r="A4" s="31" t="str">
        <x:v>Initial stock quantity</x:v>
      </x:c>
      <x:c r="B4" s="34" t="n">
        <x:v>5</x:v>
      </x:c>
    </x:row>
    <x:row r="5">
      <x:c r="A5" s="31" t="str">
        <x:v>Unit cost (RMB)</x:v>
      </x:c>
      <x:c r="B5" s="36" t="n">
        <x:v>40</x:v>
      </x:c>
    </x:row>
    <x:row r="6">
      <x:c r="A6" s="31" t="str">
        <x:v>Selling price/item (RMB)</x:v>
      </x:c>
      <x:c r="B6" s="36" t="n">
        <x:v>80</x:v>
      </x:c>
    </x:row>
    <x:row r="7">
      <x:c r="A7" s="31" t="str">
        <x:v>Unit cost (USD)</x:v>
      </x:c>
      <x:c r="B7" s="36" t="n">
        <x:v>5.91</x:v>
      </x:c>
    </x:row>
    <x:row r="8">
      <x:c r="A8" s="31" t="str">
        <x:v>Selling price/item (USD)</x:v>
      </x:c>
      <x:c r="B8" s="36" t="n">
        <x:v>11.82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5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5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5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5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5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5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5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5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5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5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5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5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5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5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5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5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5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5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5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5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5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5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5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5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5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5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5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5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5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5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5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5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5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5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5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5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5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5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5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5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5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5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5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5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5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5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5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5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5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5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5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5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5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5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5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5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5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5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5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5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5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5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5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5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5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5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5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5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5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5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5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5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5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5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5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5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5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5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5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5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5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5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5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5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5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5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5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5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5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5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5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5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5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5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5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5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5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5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5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5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5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5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5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5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5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5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5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5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5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5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5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5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5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5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5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5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5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5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5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5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5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5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5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5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5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5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5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5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5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5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5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5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5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5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5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5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5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5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5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5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5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5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5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5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5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5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5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5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5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5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5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5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5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5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5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5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5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5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5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5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5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5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5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5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5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5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5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5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5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5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5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5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5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5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5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5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5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5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5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5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5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5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5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5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5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5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5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5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5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5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5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5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5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5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5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5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5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5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5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5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c002117f0aa4b60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24.5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46</x:v>
      </x:c>
    </x:row>
    <x:row r="3">
      <x:c r="A3" s="31" t="str">
        <x:v>Product name</x:v>
      </x:c>
      <x:c r="B3" s="34" t="str">
        <x:v>Generic Perfumes / Fragrances</x:v>
      </x:c>
    </x:row>
    <x:row r="4">
      <x:c r="A4" s="31" t="str">
        <x:v>Initial stock quantity</x:v>
      </x:c>
      <x:c r="B4" s="34" t="n">
        <x:v>100</x:v>
      </x:c>
    </x:row>
    <x:row r="5">
      <x:c r="A5" s="31" t="str">
        <x:v>Unit cost (RMB)</x:v>
      </x:c>
      <x:c r="B5" s="36" t="n">
        <x:v>15.3</x:v>
      </x:c>
    </x:row>
    <x:row r="6">
      <x:c r="A6" s="31" t="str">
        <x:v>Selling price/item (RMB)</x:v>
      </x:c>
      <x:c r="B6" s="36" t="n">
        <x:v>30.6</x:v>
      </x:c>
    </x:row>
    <x:row r="7">
      <x:c r="A7" s="31" t="str">
        <x:v>Unit cost (USD)</x:v>
      </x:c>
      <x:c r="B7" s="36" t="n">
        <x:v>2.26</x:v>
      </x:c>
    </x:row>
    <x:row r="8">
      <x:c r="A8" s="31" t="str">
        <x:v>Selling price/item (USD)</x:v>
      </x:c>
      <x:c r="B8" s="36" t="n">
        <x:v>4.52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100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100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100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100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100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100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100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100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100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100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100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100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100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100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100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100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100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100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100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100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100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100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100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100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100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100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100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100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100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100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100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100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100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100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100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100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100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100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100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100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100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100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100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100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100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100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100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100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100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100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100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100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100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100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100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100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100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100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100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100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100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100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100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100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100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100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100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100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100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100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100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100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100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100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100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100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100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100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100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100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100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100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100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100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100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100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100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100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100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100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100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100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100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100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100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100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100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100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100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100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100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100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100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100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100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100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100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100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100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100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100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100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100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100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100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100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100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100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100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100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100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100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100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100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100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100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100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100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100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100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100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100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100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100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100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100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100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100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100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100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100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100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100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100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100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100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100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100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100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100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100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100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100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100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100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100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100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100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100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100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100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100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100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100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100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100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100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100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100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100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100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100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100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100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100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100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100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100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100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100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100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100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100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100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100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100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100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100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100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100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100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100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100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100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100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100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100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100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100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100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109c4b0a7fb94559"/>
  </x:tableParts>
</x:worksheet>
</file>

<file path=xl/worksheets/sheet48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690000534057617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47</x:v>
      </x:c>
    </x:row>
    <x:row r="3">
      <x:c r="A3" s="31" t="str">
        <x:v>Product name</x:v>
      </x:c>
      <x:c r="B3" s="34" t="str">
        <x:v>Ladies' Fashion Cargo Dresses (Style C)</x:v>
      </x:c>
    </x:row>
    <x:row r="4">
      <x:c r="A4" s="31" t="str">
        <x:v>Initial stock quantity</x:v>
      </x:c>
      <x:c r="B4" s="34" t="n">
        <x:v>4</x:v>
      </x:c>
    </x:row>
    <x:row r="5">
      <x:c r="A5" s="31" t="str">
        <x:v>Unit cost (RMB)</x:v>
      </x:c>
      <x:c r="B5" s="36" t="n">
        <x:v>120</x:v>
      </x:c>
    </x:row>
    <x:row r="6">
      <x:c r="A6" s="31" t="str">
        <x:v>Selling price/item (RMB)</x:v>
      </x:c>
      <x:c r="B6" s="36" t="n">
        <x:v>240</x:v>
      </x:c>
    </x:row>
    <x:row r="7">
      <x:c r="A7" s="31" t="str">
        <x:v>Unit cost (USD)</x:v>
      </x:c>
      <x:c r="B7" s="36" t="n">
        <x:v>17.74</x:v>
      </x:c>
    </x:row>
    <x:row r="8">
      <x:c r="A8" s="31" t="str">
        <x:v>Selling price/item (USD)</x:v>
      </x:c>
      <x:c r="B8" s="36" t="n">
        <x:v>35.47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4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4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4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4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4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4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4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4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4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4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4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4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4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4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4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4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4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4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4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4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4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4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4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4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4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4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4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4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4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4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4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4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4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4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4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4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4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4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4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4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4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4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4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4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4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4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4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4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4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4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4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4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4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4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4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4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4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4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4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4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4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4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4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4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4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4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4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4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4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4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4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4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4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4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4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4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4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4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4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4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4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4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4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4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4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4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4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4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4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4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4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4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4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4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4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4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4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4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4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4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4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4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4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4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4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4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4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4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4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4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4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4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4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4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4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4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4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4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4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4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4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4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4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4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4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4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4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4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4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4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4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4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4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4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4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4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4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4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4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4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4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4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4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4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4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4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4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4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4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4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4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4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4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4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4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4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4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4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4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4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4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4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4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4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4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4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4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4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4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4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4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4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4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4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4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4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4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4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4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4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4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4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4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4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4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4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4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4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4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4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4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4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4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4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4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4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4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4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4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4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49e4306bbb85410b"/>
  </x:tableParts>
</x:worksheet>
</file>

<file path=xl/worksheets/sheet49.xml><?xml version="1.0" encoding="utf-8"?>
<x:worksheet xmlns:x="http://schemas.openxmlformats.org/spreadsheetml/2006/main">
  <x:sheetFormatPr defaultRowHeight="15"/>
  <x:cols>
    <x:col min="1" max="1" width="26.649999618530273" hidden="0" customWidth="1"/>
    <x:col min="2" max="2" width="30.81999969482422" hidden="0" customWidth="1"/>
    <x:col min="3" max="3" width="11.710000038146973" hidden="0" customWidth="1"/>
    <x:col min="4" max="4" width="10.899999618530273" hidden="0" customWidth="1"/>
    <x:col min="5" max="5" width="6.329999923706055" hidden="0" customWidth="1"/>
    <x:col min="6" max="6" width="12.649999618530273" hidden="0" customWidth="1"/>
    <x:col min="7" max="7" width="14.539999961853027" hidden="0" customWidth="1"/>
    <x:col min="8" max="8" width="14.130000114440918" hidden="0" customWidth="1"/>
    <x:col min="9" max="9" width="28" hidden="0" customWidth="1"/>
  </x:cols>
  <x:sheetData>
    <x:row r="1">
      <x:c r="A1" s="27" t="str">
        <x:v>Stock Item Tracking Sheet</x:v>
      </x:c>
      <x:c r="B1" s="27" t="str"/>
    </x:row>
    <x:row r="2">
      <x:c r="A2" s="31" t="str">
        <x:v>Item No.</x:v>
      </x:c>
      <x:c r="B2" s="34" t="n">
        <x:v>48</x:v>
      </x:c>
    </x:row>
    <x:row r="3">
      <x:c r="A3" s="31" t="str">
        <x:v>Product name</x:v>
      </x:c>
      <x:c r="B3" s="34" t="str">
        <x:v>Ladies' Fashion Cargo Dresses (Style D)</x:v>
      </x:c>
    </x:row>
    <x:row r="4">
      <x:c r="A4" s="31" t="str">
        <x:v>Initial stock quantity</x:v>
      </x:c>
      <x:c r="B4" s="34" t="n">
        <x:v>4</x:v>
      </x:c>
    </x:row>
    <x:row r="5">
      <x:c r="A5" s="31" t="str">
        <x:v>Unit cost (RMB)</x:v>
      </x:c>
      <x:c r="B5" s="36" t="n">
        <x:v>108</x:v>
      </x:c>
    </x:row>
    <x:row r="6">
      <x:c r="A6" s="31" t="str">
        <x:v>Selling price/item (RMB)</x:v>
      </x:c>
      <x:c r="B6" s="36" t="n">
        <x:v>216</x:v>
      </x:c>
    </x:row>
    <x:row r="7">
      <x:c r="A7" s="31" t="str">
        <x:v>Unit cost (USD)</x:v>
      </x:c>
      <x:c r="B7" s="36" t="n">
        <x:v>15.96</x:v>
      </x:c>
    </x:row>
    <x:row r="8">
      <x:c r="A8" s="31" t="str">
        <x:v>Selling price/item (USD)</x:v>
      </x:c>
      <x:c r="B8" s="36" t="n">
        <x:v>31.92</x:v>
      </x:c>
    </x:row>
    <x:row r="10">
      <x:c r="A10" s="6" t="str">
        <x:v>Date</x:v>
      </x:c>
      <x:c r="B10" s="6" t="str">
        <x:v>Opening balance</x:v>
      </x:c>
      <x:c r="C10" s="6" t="str">
        <x:v>Stock received</x:v>
      </x:c>
      <x:c r="D10" s="6" t="str">
        <x:v>Quantity sold</x:v>
      </x:c>
      <x:c r="E10" s="6" t="str">
        <x:v>Returns</x:v>
      </x:c>
      <x:c r="F10" s="6" t="str">
        <x:v>Closing balance</x:v>
      </x:c>
      <x:c r="G10" s="6" t="str">
        <x:v>Sales value (RMB)</x:v>
      </x:c>
      <x:c r="H10" s="6" t="str">
        <x:v>Sales value (USD)</x:v>
      </x:c>
      <x:c r="I10" s="6" t="str">
        <x:v>Notes</x:v>
      </x:c>
    </x:row>
    <x:row r="11">
      <x:c r="A11" s="40" t="str"/>
      <x:c r="B11" s="41" t="n">
        <x:f>$B$4</x:f>
        <x:v>4</x:v>
      </x:c>
      <x:c r="C11" s="41" t="n">
        <x:v>0</x:v>
      </x:c>
      <x:c r="D11" s="41" t="n">
        <x:v>0</x:v>
      </x:c>
      <x:c r="E11" s="41" t="n">
        <x:v>0</x:v>
      </x:c>
      <x:c r="F11" s="41" t="n">
        <x:f>B11+C11+E11-D11</x:f>
        <x:v>4</x:v>
      </x:c>
      <x:c r="G11" s="36" t="n">
        <x:f>D11*$B$6</x:f>
        <x:v>0</x:v>
      </x:c>
      <x:c r="H11" s="36" t="n">
        <x:f>D11*$B$8</x:f>
        <x:v>0</x:v>
      </x:c>
      <x:c r="I11" s="34" t="str"/>
    </x:row>
    <x:row r="12">
      <x:c r="A12" s="40" t="str"/>
      <x:c r="B12" s="41" t="n">
        <x:f>F11</x:f>
        <x:v>4</x:v>
      </x:c>
      <x:c r="C12" s="41" t="n">
        <x:v>0</x:v>
      </x:c>
      <x:c r="D12" s="41" t="n">
        <x:v>0</x:v>
      </x:c>
      <x:c r="E12" s="41" t="n">
        <x:v>0</x:v>
      </x:c>
      <x:c r="F12" s="41" t="n">
        <x:f>B12+C12+E12-D12</x:f>
        <x:v>4</x:v>
      </x:c>
      <x:c r="G12" s="36" t="n">
        <x:f>D12*$B$6</x:f>
        <x:v>0</x:v>
      </x:c>
      <x:c r="H12" s="36" t="n">
        <x:f>D12*$B$8</x:f>
        <x:v>0</x:v>
      </x:c>
      <x:c r="I12" s="34" t="str"/>
    </x:row>
    <x:row r="13">
      <x:c r="A13" s="40" t="str"/>
      <x:c r="B13" s="41" t="n">
        <x:f>F12</x:f>
        <x:v>4</x:v>
      </x:c>
      <x:c r="C13" s="41" t="n">
        <x:v>0</x:v>
      </x:c>
      <x:c r="D13" s="41" t="n">
        <x:v>0</x:v>
      </x:c>
      <x:c r="E13" s="41" t="n">
        <x:v>0</x:v>
      </x:c>
      <x:c r="F13" s="41" t="n">
        <x:f>B13+C13+E13-D13</x:f>
        <x:v>4</x:v>
      </x:c>
      <x:c r="G13" s="36" t="n">
        <x:f>D13*$B$6</x:f>
        <x:v>0</x:v>
      </x:c>
      <x:c r="H13" s="36" t="n">
        <x:f>D13*$B$8</x:f>
        <x:v>0</x:v>
      </x:c>
      <x:c r="I13" s="34" t="str"/>
    </x:row>
    <x:row r="14">
      <x:c r="A14" s="40" t="str"/>
      <x:c r="B14" s="41" t="n">
        <x:f>F13</x:f>
        <x:v>4</x:v>
      </x:c>
      <x:c r="C14" s="41" t="n">
        <x:v>0</x:v>
      </x:c>
      <x:c r="D14" s="41" t="n">
        <x:v>0</x:v>
      </x:c>
      <x:c r="E14" s="41" t="n">
        <x:v>0</x:v>
      </x:c>
      <x:c r="F14" s="41" t="n">
        <x:f>B14+C14+E14-D14</x:f>
        <x:v>4</x:v>
      </x:c>
      <x:c r="G14" s="36" t="n">
        <x:f>D14*$B$6</x:f>
        <x:v>0</x:v>
      </x:c>
      <x:c r="H14" s="36" t="n">
        <x:f>D14*$B$8</x:f>
        <x:v>0</x:v>
      </x:c>
      <x:c r="I14" s="34" t="str"/>
    </x:row>
    <x:row r="15">
      <x:c r="A15" s="40" t="str"/>
      <x:c r="B15" s="41" t="n">
        <x:f>F14</x:f>
        <x:v>4</x:v>
      </x:c>
      <x:c r="C15" s="41" t="n">
        <x:v>0</x:v>
      </x:c>
      <x:c r="D15" s="41" t="n">
        <x:v>0</x:v>
      </x:c>
      <x:c r="E15" s="41" t="n">
        <x:v>0</x:v>
      </x:c>
      <x:c r="F15" s="41" t="n">
        <x:f>B15+C15+E15-D15</x:f>
        <x:v>4</x:v>
      </x:c>
      <x:c r="G15" s="36" t="n">
        <x:f>D15*$B$6</x:f>
        <x:v>0</x:v>
      </x:c>
      <x:c r="H15" s="36" t="n">
        <x:f>D15*$B$8</x:f>
        <x:v>0</x:v>
      </x:c>
      <x:c r="I15" s="34" t="str"/>
    </x:row>
    <x:row r="16">
      <x:c r="A16" s="40" t="str"/>
      <x:c r="B16" s="41" t="n">
        <x:f>F15</x:f>
        <x:v>4</x:v>
      </x:c>
      <x:c r="C16" s="41" t="n">
        <x:v>0</x:v>
      </x:c>
      <x:c r="D16" s="41" t="n">
        <x:v>0</x:v>
      </x:c>
      <x:c r="E16" s="41" t="n">
        <x:v>0</x:v>
      </x:c>
      <x:c r="F16" s="41" t="n">
        <x:f>B16+C16+E16-D16</x:f>
        <x:v>4</x:v>
      </x:c>
      <x:c r="G16" s="36" t="n">
        <x:f>D16*$B$6</x:f>
        <x:v>0</x:v>
      </x:c>
      <x:c r="H16" s="36" t="n">
        <x:f>D16*$B$8</x:f>
        <x:v>0</x:v>
      </x:c>
      <x:c r="I16" s="34" t="str"/>
    </x:row>
    <x:row r="17">
      <x:c r="A17" s="40" t="str"/>
      <x:c r="B17" s="41" t="n">
        <x:f>F16</x:f>
        <x:v>4</x:v>
      </x:c>
      <x:c r="C17" s="41" t="n">
        <x:v>0</x:v>
      </x:c>
      <x:c r="D17" s="41" t="n">
        <x:v>0</x:v>
      </x:c>
      <x:c r="E17" s="41" t="n">
        <x:v>0</x:v>
      </x:c>
      <x:c r="F17" s="41" t="n">
        <x:f>B17+C17+E17-D17</x:f>
        <x:v>4</x:v>
      </x:c>
      <x:c r="G17" s="36" t="n">
        <x:f>D17*$B$6</x:f>
        <x:v>0</x:v>
      </x:c>
      <x:c r="H17" s="36" t="n">
        <x:f>D17*$B$8</x:f>
        <x:v>0</x:v>
      </x:c>
      <x:c r="I17" s="34" t="str"/>
    </x:row>
    <x:row r="18">
      <x:c r="A18" s="40" t="str"/>
      <x:c r="B18" s="41" t="n">
        <x:f>F17</x:f>
        <x:v>4</x:v>
      </x:c>
      <x:c r="C18" s="41" t="n">
        <x:v>0</x:v>
      </x:c>
      <x:c r="D18" s="41" t="n">
        <x:v>0</x:v>
      </x:c>
      <x:c r="E18" s="41" t="n">
        <x:v>0</x:v>
      </x:c>
      <x:c r="F18" s="41" t="n">
        <x:f>B18+C18+E18-D18</x:f>
        <x:v>4</x:v>
      </x:c>
      <x:c r="G18" s="36" t="n">
        <x:f>D18*$B$6</x:f>
        <x:v>0</x:v>
      </x:c>
      <x:c r="H18" s="36" t="n">
        <x:f>D18*$B$8</x:f>
        <x:v>0</x:v>
      </x:c>
      <x:c r="I18" s="34" t="str"/>
    </x:row>
    <x:row r="19">
      <x:c r="A19" s="40" t="str"/>
      <x:c r="B19" s="41" t="n">
        <x:f>F18</x:f>
        <x:v>4</x:v>
      </x:c>
      <x:c r="C19" s="41" t="n">
        <x:v>0</x:v>
      </x:c>
      <x:c r="D19" s="41" t="n">
        <x:v>0</x:v>
      </x:c>
      <x:c r="E19" s="41" t="n">
        <x:v>0</x:v>
      </x:c>
      <x:c r="F19" s="41" t="n">
        <x:f>B19+C19+E19-D19</x:f>
        <x:v>4</x:v>
      </x:c>
      <x:c r="G19" s="36" t="n">
        <x:f>D19*$B$6</x:f>
        <x:v>0</x:v>
      </x:c>
      <x:c r="H19" s="36" t="n">
        <x:f>D19*$B$8</x:f>
        <x:v>0</x:v>
      </x:c>
      <x:c r="I19" s="34" t="str"/>
    </x:row>
    <x:row r="20">
      <x:c r="A20" s="40" t="str"/>
      <x:c r="B20" s="41" t="n">
        <x:f>F19</x:f>
        <x:v>4</x:v>
      </x:c>
      <x:c r="C20" s="41" t="n">
        <x:v>0</x:v>
      </x:c>
      <x:c r="D20" s="41" t="n">
        <x:v>0</x:v>
      </x:c>
      <x:c r="E20" s="41" t="n">
        <x:v>0</x:v>
      </x:c>
      <x:c r="F20" s="41" t="n">
        <x:f>B20+C20+E20-D20</x:f>
        <x:v>4</x:v>
      </x:c>
      <x:c r="G20" s="36" t="n">
        <x:f>D20*$B$6</x:f>
        <x:v>0</x:v>
      </x:c>
      <x:c r="H20" s="36" t="n">
        <x:f>D20*$B$8</x:f>
        <x:v>0</x:v>
      </x:c>
      <x:c r="I20" s="34" t="str"/>
    </x:row>
    <x:row r="21">
      <x:c r="A21" s="40" t="str"/>
      <x:c r="B21" s="41" t="n">
        <x:f>F20</x:f>
        <x:v>4</x:v>
      </x:c>
      <x:c r="C21" s="41" t="n">
        <x:v>0</x:v>
      </x:c>
      <x:c r="D21" s="41" t="n">
        <x:v>0</x:v>
      </x:c>
      <x:c r="E21" s="41" t="n">
        <x:v>0</x:v>
      </x:c>
      <x:c r="F21" s="41" t="n">
        <x:f>B21+C21+E21-D21</x:f>
        <x:v>4</x:v>
      </x:c>
      <x:c r="G21" s="36" t="n">
        <x:f>D21*$B$6</x:f>
        <x:v>0</x:v>
      </x:c>
      <x:c r="H21" s="36" t="n">
        <x:f>D21*$B$8</x:f>
        <x:v>0</x:v>
      </x:c>
      <x:c r="I21" s="34" t="str"/>
    </x:row>
    <x:row r="22">
      <x:c r="A22" s="40" t="str"/>
      <x:c r="B22" s="41" t="n">
        <x:f>F21</x:f>
        <x:v>4</x:v>
      </x:c>
      <x:c r="C22" s="41" t="n">
        <x:v>0</x:v>
      </x:c>
      <x:c r="D22" s="41" t="n">
        <x:v>0</x:v>
      </x:c>
      <x:c r="E22" s="41" t="n">
        <x:v>0</x:v>
      </x:c>
      <x:c r="F22" s="41" t="n">
        <x:f>B22+C22+E22-D22</x:f>
        <x:v>4</x:v>
      </x:c>
      <x:c r="G22" s="36" t="n">
        <x:f>D22*$B$6</x:f>
        <x:v>0</x:v>
      </x:c>
      <x:c r="H22" s="36" t="n">
        <x:f>D22*$B$8</x:f>
        <x:v>0</x:v>
      </x:c>
      <x:c r="I22" s="34" t="str"/>
    </x:row>
    <x:row r="23">
      <x:c r="A23" s="40" t="str"/>
      <x:c r="B23" s="41" t="n">
        <x:f>F22</x:f>
        <x:v>4</x:v>
      </x:c>
      <x:c r="C23" s="41" t="n">
        <x:v>0</x:v>
      </x:c>
      <x:c r="D23" s="41" t="n">
        <x:v>0</x:v>
      </x:c>
      <x:c r="E23" s="41" t="n">
        <x:v>0</x:v>
      </x:c>
      <x:c r="F23" s="41" t="n">
        <x:f>B23+C23+E23-D23</x:f>
        <x:v>4</x:v>
      </x:c>
      <x:c r="G23" s="36" t="n">
        <x:f>D23*$B$6</x:f>
        <x:v>0</x:v>
      </x:c>
      <x:c r="H23" s="36" t="n">
        <x:f>D23*$B$8</x:f>
        <x:v>0</x:v>
      </x:c>
      <x:c r="I23" s="34" t="str"/>
    </x:row>
    <x:row r="24">
      <x:c r="A24" s="40" t="str"/>
      <x:c r="B24" s="41" t="n">
        <x:f>F23</x:f>
        <x:v>4</x:v>
      </x:c>
      <x:c r="C24" s="41" t="n">
        <x:v>0</x:v>
      </x:c>
      <x:c r="D24" s="41" t="n">
        <x:v>0</x:v>
      </x:c>
      <x:c r="E24" s="41" t="n">
        <x:v>0</x:v>
      </x:c>
      <x:c r="F24" s="41" t="n">
        <x:f>B24+C24+E24-D24</x:f>
        <x:v>4</x:v>
      </x:c>
      <x:c r="G24" s="36" t="n">
        <x:f>D24*$B$6</x:f>
        <x:v>0</x:v>
      </x:c>
      <x:c r="H24" s="36" t="n">
        <x:f>D24*$B$8</x:f>
        <x:v>0</x:v>
      </x:c>
      <x:c r="I24" s="34" t="str"/>
    </x:row>
    <x:row r="25">
      <x:c r="A25" s="40" t="str"/>
      <x:c r="B25" s="41" t="n">
        <x:f>F24</x:f>
        <x:v>4</x:v>
      </x:c>
      <x:c r="C25" s="41" t="n">
        <x:v>0</x:v>
      </x:c>
      <x:c r="D25" s="41" t="n">
        <x:v>0</x:v>
      </x:c>
      <x:c r="E25" s="41" t="n">
        <x:v>0</x:v>
      </x:c>
      <x:c r="F25" s="41" t="n">
        <x:f>B25+C25+E25-D25</x:f>
        <x:v>4</x:v>
      </x:c>
      <x:c r="G25" s="36" t="n">
        <x:f>D25*$B$6</x:f>
        <x:v>0</x:v>
      </x:c>
      <x:c r="H25" s="36" t="n">
        <x:f>D25*$B$8</x:f>
        <x:v>0</x:v>
      </x:c>
      <x:c r="I25" s="34" t="str"/>
    </x:row>
    <x:row r="26">
      <x:c r="A26" s="40" t="str"/>
      <x:c r="B26" s="41" t="n">
        <x:f>F25</x:f>
        <x:v>4</x:v>
      </x:c>
      <x:c r="C26" s="41" t="n">
        <x:v>0</x:v>
      </x:c>
      <x:c r="D26" s="41" t="n">
        <x:v>0</x:v>
      </x:c>
      <x:c r="E26" s="41" t="n">
        <x:v>0</x:v>
      </x:c>
      <x:c r="F26" s="41" t="n">
        <x:f>B26+C26+E26-D26</x:f>
        <x:v>4</x:v>
      </x:c>
      <x:c r="G26" s="36" t="n">
        <x:f>D26*$B$6</x:f>
        <x:v>0</x:v>
      </x:c>
      <x:c r="H26" s="36" t="n">
        <x:f>D26*$B$8</x:f>
        <x:v>0</x:v>
      </x:c>
      <x:c r="I26" s="34" t="str"/>
    </x:row>
    <x:row r="27">
      <x:c r="A27" s="40" t="str"/>
      <x:c r="B27" s="41" t="n">
        <x:f>F26</x:f>
        <x:v>4</x:v>
      </x:c>
      <x:c r="C27" s="41" t="n">
        <x:v>0</x:v>
      </x:c>
      <x:c r="D27" s="41" t="n">
        <x:v>0</x:v>
      </x:c>
      <x:c r="E27" s="41" t="n">
        <x:v>0</x:v>
      </x:c>
      <x:c r="F27" s="41" t="n">
        <x:f>B27+C27+E27-D27</x:f>
        <x:v>4</x:v>
      </x:c>
      <x:c r="G27" s="36" t="n">
        <x:f>D27*$B$6</x:f>
        <x:v>0</x:v>
      </x:c>
      <x:c r="H27" s="36" t="n">
        <x:f>D27*$B$8</x:f>
        <x:v>0</x:v>
      </x:c>
      <x:c r="I27" s="34" t="str"/>
    </x:row>
    <x:row r="28">
      <x:c r="A28" s="40" t="str"/>
      <x:c r="B28" s="41" t="n">
        <x:f>F27</x:f>
        <x:v>4</x:v>
      </x:c>
      <x:c r="C28" s="41" t="n">
        <x:v>0</x:v>
      </x:c>
      <x:c r="D28" s="41" t="n">
        <x:v>0</x:v>
      </x:c>
      <x:c r="E28" s="41" t="n">
        <x:v>0</x:v>
      </x:c>
      <x:c r="F28" s="41" t="n">
        <x:f>B28+C28+E28-D28</x:f>
        <x:v>4</x:v>
      </x:c>
      <x:c r="G28" s="36" t="n">
        <x:f>D28*$B$6</x:f>
        <x:v>0</x:v>
      </x:c>
      <x:c r="H28" s="36" t="n">
        <x:f>D28*$B$8</x:f>
        <x:v>0</x:v>
      </x:c>
      <x:c r="I28" s="34" t="str"/>
    </x:row>
    <x:row r="29">
      <x:c r="A29" s="40" t="str"/>
      <x:c r="B29" s="41" t="n">
        <x:f>F28</x:f>
        <x:v>4</x:v>
      </x:c>
      <x:c r="C29" s="41" t="n">
        <x:v>0</x:v>
      </x:c>
      <x:c r="D29" s="41" t="n">
        <x:v>0</x:v>
      </x:c>
      <x:c r="E29" s="41" t="n">
        <x:v>0</x:v>
      </x:c>
      <x:c r="F29" s="41" t="n">
        <x:f>B29+C29+E29-D29</x:f>
        <x:v>4</x:v>
      </x:c>
      <x:c r="G29" s="36" t="n">
        <x:f>D29*$B$6</x:f>
        <x:v>0</x:v>
      </x:c>
      <x:c r="H29" s="36" t="n">
        <x:f>D29*$B$8</x:f>
        <x:v>0</x:v>
      </x:c>
      <x:c r="I29" s="34" t="str"/>
    </x:row>
    <x:row r="30">
      <x:c r="A30" s="40" t="str"/>
      <x:c r="B30" s="41" t="n">
        <x:f>F29</x:f>
        <x:v>4</x:v>
      </x:c>
      <x:c r="C30" s="41" t="n">
        <x:v>0</x:v>
      </x:c>
      <x:c r="D30" s="41" t="n">
        <x:v>0</x:v>
      </x:c>
      <x:c r="E30" s="41" t="n">
        <x:v>0</x:v>
      </x:c>
      <x:c r="F30" s="41" t="n">
        <x:f>B30+C30+E30-D30</x:f>
        <x:v>4</x:v>
      </x:c>
      <x:c r="G30" s="36" t="n">
        <x:f>D30*$B$6</x:f>
        <x:v>0</x:v>
      </x:c>
      <x:c r="H30" s="36" t="n">
        <x:f>D30*$B$8</x:f>
        <x:v>0</x:v>
      </x:c>
      <x:c r="I30" s="34" t="str"/>
    </x:row>
    <x:row r="31">
      <x:c r="A31" s="40" t="str"/>
      <x:c r="B31" s="41" t="n">
        <x:f>F30</x:f>
        <x:v>4</x:v>
      </x:c>
      <x:c r="C31" s="41" t="n">
        <x:v>0</x:v>
      </x:c>
      <x:c r="D31" s="41" t="n">
        <x:v>0</x:v>
      </x:c>
      <x:c r="E31" s="41" t="n">
        <x:v>0</x:v>
      </x:c>
      <x:c r="F31" s="41" t="n">
        <x:f>B31+C31+E31-D31</x:f>
        <x:v>4</x:v>
      </x:c>
      <x:c r="G31" s="36" t="n">
        <x:f>D31*$B$6</x:f>
        <x:v>0</x:v>
      </x:c>
      <x:c r="H31" s="36" t="n">
        <x:f>D31*$B$8</x:f>
        <x:v>0</x:v>
      </x:c>
      <x:c r="I31" s="34" t="str"/>
    </x:row>
    <x:row r="32">
      <x:c r="A32" s="40" t="str"/>
      <x:c r="B32" s="41" t="n">
        <x:f>F31</x:f>
        <x:v>4</x:v>
      </x:c>
      <x:c r="C32" s="41" t="n">
        <x:v>0</x:v>
      </x:c>
      <x:c r="D32" s="41" t="n">
        <x:v>0</x:v>
      </x:c>
      <x:c r="E32" s="41" t="n">
        <x:v>0</x:v>
      </x:c>
      <x:c r="F32" s="41" t="n">
        <x:f>B32+C32+E32-D32</x:f>
        <x:v>4</x:v>
      </x:c>
      <x:c r="G32" s="36" t="n">
        <x:f>D32*$B$6</x:f>
        <x:v>0</x:v>
      </x:c>
      <x:c r="H32" s="36" t="n">
        <x:f>D32*$B$8</x:f>
        <x:v>0</x:v>
      </x:c>
      <x:c r="I32" s="34" t="str"/>
    </x:row>
    <x:row r="33">
      <x:c r="A33" s="40" t="str"/>
      <x:c r="B33" s="41" t="n">
        <x:f>F32</x:f>
        <x:v>4</x:v>
      </x:c>
      <x:c r="C33" s="41" t="n">
        <x:v>0</x:v>
      </x:c>
      <x:c r="D33" s="41" t="n">
        <x:v>0</x:v>
      </x:c>
      <x:c r="E33" s="41" t="n">
        <x:v>0</x:v>
      </x:c>
      <x:c r="F33" s="41" t="n">
        <x:f>B33+C33+E33-D33</x:f>
        <x:v>4</x:v>
      </x:c>
      <x:c r="G33" s="36" t="n">
        <x:f>D33*$B$6</x:f>
        <x:v>0</x:v>
      </x:c>
      <x:c r="H33" s="36" t="n">
        <x:f>D33*$B$8</x:f>
        <x:v>0</x:v>
      </x:c>
      <x:c r="I33" s="34" t="str"/>
    </x:row>
    <x:row r="34">
      <x:c r="A34" s="40" t="str"/>
      <x:c r="B34" s="41" t="n">
        <x:f>F33</x:f>
        <x:v>4</x:v>
      </x:c>
      <x:c r="C34" s="41" t="n">
        <x:v>0</x:v>
      </x:c>
      <x:c r="D34" s="41" t="n">
        <x:v>0</x:v>
      </x:c>
      <x:c r="E34" s="41" t="n">
        <x:v>0</x:v>
      </x:c>
      <x:c r="F34" s="41" t="n">
        <x:f>B34+C34+E34-D34</x:f>
        <x:v>4</x:v>
      </x:c>
      <x:c r="G34" s="36" t="n">
        <x:f>D34*$B$6</x:f>
        <x:v>0</x:v>
      </x:c>
      <x:c r="H34" s="36" t="n">
        <x:f>D34*$B$8</x:f>
        <x:v>0</x:v>
      </x:c>
      <x:c r="I34" s="34" t="str"/>
    </x:row>
    <x:row r="35">
      <x:c r="A35" s="40" t="str"/>
      <x:c r="B35" s="41" t="n">
        <x:f>F34</x:f>
        <x:v>4</x:v>
      </x:c>
      <x:c r="C35" s="41" t="n">
        <x:v>0</x:v>
      </x:c>
      <x:c r="D35" s="41" t="n">
        <x:v>0</x:v>
      </x:c>
      <x:c r="E35" s="41" t="n">
        <x:v>0</x:v>
      </x:c>
      <x:c r="F35" s="41" t="n">
        <x:f>B35+C35+E35-D35</x:f>
        <x:v>4</x:v>
      </x:c>
      <x:c r="G35" s="36" t="n">
        <x:f>D35*$B$6</x:f>
        <x:v>0</x:v>
      </x:c>
      <x:c r="H35" s="36" t="n">
        <x:f>D35*$B$8</x:f>
        <x:v>0</x:v>
      </x:c>
      <x:c r="I35" s="34" t="str"/>
    </x:row>
    <x:row r="36">
      <x:c r="A36" s="40" t="str"/>
      <x:c r="B36" s="41" t="n">
        <x:f>F35</x:f>
        <x:v>4</x:v>
      </x:c>
      <x:c r="C36" s="41" t="n">
        <x:v>0</x:v>
      </x:c>
      <x:c r="D36" s="41" t="n">
        <x:v>0</x:v>
      </x:c>
      <x:c r="E36" s="41" t="n">
        <x:v>0</x:v>
      </x:c>
      <x:c r="F36" s="41" t="n">
        <x:f>B36+C36+E36-D36</x:f>
        <x:v>4</x:v>
      </x:c>
      <x:c r="G36" s="36" t="n">
        <x:f>D36*$B$6</x:f>
        <x:v>0</x:v>
      </x:c>
      <x:c r="H36" s="36" t="n">
        <x:f>D36*$B$8</x:f>
        <x:v>0</x:v>
      </x:c>
      <x:c r="I36" s="34" t="str"/>
    </x:row>
    <x:row r="37">
      <x:c r="A37" s="40" t="str"/>
      <x:c r="B37" s="41" t="n">
        <x:f>F36</x:f>
        <x:v>4</x:v>
      </x:c>
      <x:c r="C37" s="41" t="n">
        <x:v>0</x:v>
      </x:c>
      <x:c r="D37" s="41" t="n">
        <x:v>0</x:v>
      </x:c>
      <x:c r="E37" s="41" t="n">
        <x:v>0</x:v>
      </x:c>
      <x:c r="F37" s="41" t="n">
        <x:f>B37+C37+E37-D37</x:f>
        <x:v>4</x:v>
      </x:c>
      <x:c r="G37" s="36" t="n">
        <x:f>D37*$B$6</x:f>
        <x:v>0</x:v>
      </x:c>
      <x:c r="H37" s="36" t="n">
        <x:f>D37*$B$8</x:f>
        <x:v>0</x:v>
      </x:c>
      <x:c r="I37" s="34" t="str"/>
    </x:row>
    <x:row r="38">
      <x:c r="A38" s="40" t="str"/>
      <x:c r="B38" s="41" t="n">
        <x:f>F37</x:f>
        <x:v>4</x:v>
      </x:c>
      <x:c r="C38" s="41" t="n">
        <x:v>0</x:v>
      </x:c>
      <x:c r="D38" s="41" t="n">
        <x:v>0</x:v>
      </x:c>
      <x:c r="E38" s="41" t="n">
        <x:v>0</x:v>
      </x:c>
      <x:c r="F38" s="41" t="n">
        <x:f>B38+C38+E38-D38</x:f>
        <x:v>4</x:v>
      </x:c>
      <x:c r="G38" s="36" t="n">
        <x:f>D38*$B$6</x:f>
        <x:v>0</x:v>
      </x:c>
      <x:c r="H38" s="36" t="n">
        <x:f>D38*$B$8</x:f>
        <x:v>0</x:v>
      </x:c>
      <x:c r="I38" s="34" t="str"/>
    </x:row>
    <x:row r="39">
      <x:c r="A39" s="40" t="str"/>
      <x:c r="B39" s="41" t="n">
        <x:f>F38</x:f>
        <x:v>4</x:v>
      </x:c>
      <x:c r="C39" s="41" t="n">
        <x:v>0</x:v>
      </x:c>
      <x:c r="D39" s="41" t="n">
        <x:v>0</x:v>
      </x:c>
      <x:c r="E39" s="41" t="n">
        <x:v>0</x:v>
      </x:c>
      <x:c r="F39" s="41" t="n">
        <x:f>B39+C39+E39-D39</x:f>
        <x:v>4</x:v>
      </x:c>
      <x:c r="G39" s="36" t="n">
        <x:f>D39*$B$6</x:f>
        <x:v>0</x:v>
      </x:c>
      <x:c r="H39" s="36" t="n">
        <x:f>D39*$B$8</x:f>
        <x:v>0</x:v>
      </x:c>
      <x:c r="I39" s="34" t="str"/>
    </x:row>
    <x:row r="40">
      <x:c r="A40" s="40" t="str"/>
      <x:c r="B40" s="41" t="n">
        <x:f>F39</x:f>
        <x:v>4</x:v>
      </x:c>
      <x:c r="C40" s="41" t="n">
        <x:v>0</x:v>
      </x:c>
      <x:c r="D40" s="41" t="n">
        <x:v>0</x:v>
      </x:c>
      <x:c r="E40" s="41" t="n">
        <x:v>0</x:v>
      </x:c>
      <x:c r="F40" s="41" t="n">
        <x:f>B40+C40+E40-D40</x:f>
        <x:v>4</x:v>
      </x:c>
      <x:c r="G40" s="36" t="n">
        <x:f>D40*$B$6</x:f>
        <x:v>0</x:v>
      </x:c>
      <x:c r="H40" s="36" t="n">
        <x:f>D40*$B$8</x:f>
        <x:v>0</x:v>
      </x:c>
      <x:c r="I40" s="34" t="str"/>
    </x:row>
    <x:row r="41">
      <x:c r="A41" s="40" t="str"/>
      <x:c r="B41" s="41" t="n">
        <x:f>F40</x:f>
        <x:v>4</x:v>
      </x:c>
      <x:c r="C41" s="41" t="n">
        <x:v>0</x:v>
      </x:c>
      <x:c r="D41" s="41" t="n">
        <x:v>0</x:v>
      </x:c>
      <x:c r="E41" s="41" t="n">
        <x:v>0</x:v>
      </x:c>
      <x:c r="F41" s="41" t="n">
        <x:f>B41+C41+E41-D41</x:f>
        <x:v>4</x:v>
      </x:c>
      <x:c r="G41" s="36" t="n">
        <x:f>D41*$B$6</x:f>
        <x:v>0</x:v>
      </x:c>
      <x:c r="H41" s="36" t="n">
        <x:f>D41*$B$8</x:f>
        <x:v>0</x:v>
      </x:c>
      <x:c r="I41" s="34" t="str"/>
    </x:row>
    <x:row r="42">
      <x:c r="A42" s="40" t="str"/>
      <x:c r="B42" s="41" t="n">
        <x:f>F41</x:f>
        <x:v>4</x:v>
      </x:c>
      <x:c r="C42" s="41" t="n">
        <x:v>0</x:v>
      </x:c>
      <x:c r="D42" s="41" t="n">
        <x:v>0</x:v>
      </x:c>
      <x:c r="E42" s="41" t="n">
        <x:v>0</x:v>
      </x:c>
      <x:c r="F42" s="41" t="n">
        <x:f>B42+C42+E42-D42</x:f>
        <x:v>4</x:v>
      </x:c>
      <x:c r="G42" s="36" t="n">
        <x:f>D42*$B$6</x:f>
        <x:v>0</x:v>
      </x:c>
      <x:c r="H42" s="36" t="n">
        <x:f>D42*$B$8</x:f>
        <x:v>0</x:v>
      </x:c>
      <x:c r="I42" s="34" t="str"/>
    </x:row>
    <x:row r="43">
      <x:c r="A43" s="40" t="str"/>
      <x:c r="B43" s="41" t="n">
        <x:f>F42</x:f>
        <x:v>4</x:v>
      </x:c>
      <x:c r="C43" s="41" t="n">
        <x:v>0</x:v>
      </x:c>
      <x:c r="D43" s="41" t="n">
        <x:v>0</x:v>
      </x:c>
      <x:c r="E43" s="41" t="n">
        <x:v>0</x:v>
      </x:c>
      <x:c r="F43" s="41" t="n">
        <x:f>B43+C43+E43-D43</x:f>
        <x:v>4</x:v>
      </x:c>
      <x:c r="G43" s="36" t="n">
        <x:f>D43*$B$6</x:f>
        <x:v>0</x:v>
      </x:c>
      <x:c r="H43" s="36" t="n">
        <x:f>D43*$B$8</x:f>
        <x:v>0</x:v>
      </x:c>
      <x:c r="I43" s="34" t="str"/>
    </x:row>
    <x:row r="44">
      <x:c r="A44" s="40" t="str"/>
      <x:c r="B44" s="41" t="n">
        <x:f>F43</x:f>
        <x:v>4</x:v>
      </x:c>
      <x:c r="C44" s="41" t="n">
        <x:v>0</x:v>
      </x:c>
      <x:c r="D44" s="41" t="n">
        <x:v>0</x:v>
      </x:c>
      <x:c r="E44" s="41" t="n">
        <x:v>0</x:v>
      </x:c>
      <x:c r="F44" s="41" t="n">
        <x:f>B44+C44+E44-D44</x:f>
        <x:v>4</x:v>
      </x:c>
      <x:c r="G44" s="36" t="n">
        <x:f>D44*$B$6</x:f>
        <x:v>0</x:v>
      </x:c>
      <x:c r="H44" s="36" t="n">
        <x:f>D44*$B$8</x:f>
        <x:v>0</x:v>
      </x:c>
      <x:c r="I44" s="34" t="str"/>
    </x:row>
    <x:row r="45">
      <x:c r="A45" s="40" t="str"/>
      <x:c r="B45" s="41" t="n">
        <x:f>F44</x:f>
        <x:v>4</x:v>
      </x:c>
      <x:c r="C45" s="41" t="n">
        <x:v>0</x:v>
      </x:c>
      <x:c r="D45" s="41" t="n">
        <x:v>0</x:v>
      </x:c>
      <x:c r="E45" s="41" t="n">
        <x:v>0</x:v>
      </x:c>
      <x:c r="F45" s="41" t="n">
        <x:f>B45+C45+E45-D45</x:f>
        <x:v>4</x:v>
      </x:c>
      <x:c r="G45" s="36" t="n">
        <x:f>D45*$B$6</x:f>
        <x:v>0</x:v>
      </x:c>
      <x:c r="H45" s="36" t="n">
        <x:f>D45*$B$8</x:f>
        <x:v>0</x:v>
      </x:c>
      <x:c r="I45" s="34" t="str"/>
    </x:row>
    <x:row r="46">
      <x:c r="A46" s="40" t="str"/>
      <x:c r="B46" s="41" t="n">
        <x:f>F45</x:f>
        <x:v>4</x:v>
      </x:c>
      <x:c r="C46" s="41" t="n">
        <x:v>0</x:v>
      </x:c>
      <x:c r="D46" s="41" t="n">
        <x:v>0</x:v>
      </x:c>
      <x:c r="E46" s="41" t="n">
        <x:v>0</x:v>
      </x:c>
      <x:c r="F46" s="41" t="n">
        <x:f>B46+C46+E46-D46</x:f>
        <x:v>4</x:v>
      </x:c>
      <x:c r="G46" s="36" t="n">
        <x:f>D46*$B$6</x:f>
        <x:v>0</x:v>
      </x:c>
      <x:c r="H46" s="36" t="n">
        <x:f>D46*$B$8</x:f>
        <x:v>0</x:v>
      </x:c>
      <x:c r="I46" s="34" t="str"/>
    </x:row>
    <x:row r="47">
      <x:c r="A47" s="40" t="str"/>
      <x:c r="B47" s="41" t="n">
        <x:f>F46</x:f>
        <x:v>4</x:v>
      </x:c>
      <x:c r="C47" s="41" t="n">
        <x:v>0</x:v>
      </x:c>
      <x:c r="D47" s="41" t="n">
        <x:v>0</x:v>
      </x:c>
      <x:c r="E47" s="41" t="n">
        <x:v>0</x:v>
      </x:c>
      <x:c r="F47" s="41" t="n">
        <x:f>B47+C47+E47-D47</x:f>
        <x:v>4</x:v>
      </x:c>
      <x:c r="G47" s="36" t="n">
        <x:f>D47*$B$6</x:f>
        <x:v>0</x:v>
      </x:c>
      <x:c r="H47" s="36" t="n">
        <x:f>D47*$B$8</x:f>
        <x:v>0</x:v>
      </x:c>
      <x:c r="I47" s="34" t="str"/>
    </x:row>
    <x:row r="48">
      <x:c r="A48" s="40" t="str"/>
      <x:c r="B48" s="41" t="n">
        <x:f>F47</x:f>
        <x:v>4</x:v>
      </x:c>
      <x:c r="C48" s="41" t="n">
        <x:v>0</x:v>
      </x:c>
      <x:c r="D48" s="41" t="n">
        <x:v>0</x:v>
      </x:c>
      <x:c r="E48" s="41" t="n">
        <x:v>0</x:v>
      </x:c>
      <x:c r="F48" s="41" t="n">
        <x:f>B48+C48+E48-D48</x:f>
        <x:v>4</x:v>
      </x:c>
      <x:c r="G48" s="36" t="n">
        <x:f>D48*$B$6</x:f>
        <x:v>0</x:v>
      </x:c>
      <x:c r="H48" s="36" t="n">
        <x:f>D48*$B$8</x:f>
        <x:v>0</x:v>
      </x:c>
      <x:c r="I48" s="34" t="str"/>
    </x:row>
    <x:row r="49">
      <x:c r="A49" s="40" t="str"/>
      <x:c r="B49" s="41" t="n">
        <x:f>F48</x:f>
        <x:v>4</x:v>
      </x:c>
      <x:c r="C49" s="41" t="n">
        <x:v>0</x:v>
      </x:c>
      <x:c r="D49" s="41" t="n">
        <x:v>0</x:v>
      </x:c>
      <x:c r="E49" s="41" t="n">
        <x:v>0</x:v>
      </x:c>
      <x:c r="F49" s="41" t="n">
        <x:f>B49+C49+E49-D49</x:f>
        <x:v>4</x:v>
      </x:c>
      <x:c r="G49" s="36" t="n">
        <x:f>D49*$B$6</x:f>
        <x:v>0</x:v>
      </x:c>
      <x:c r="H49" s="36" t="n">
        <x:f>D49*$B$8</x:f>
        <x:v>0</x:v>
      </x:c>
      <x:c r="I49" s="34" t="str"/>
    </x:row>
    <x:row r="50">
      <x:c r="A50" s="40" t="str"/>
      <x:c r="B50" s="41" t="n">
        <x:f>F49</x:f>
        <x:v>4</x:v>
      </x:c>
      <x:c r="C50" s="41" t="n">
        <x:v>0</x:v>
      </x:c>
      <x:c r="D50" s="41" t="n">
        <x:v>0</x:v>
      </x:c>
      <x:c r="E50" s="41" t="n">
        <x:v>0</x:v>
      </x:c>
      <x:c r="F50" s="41" t="n">
        <x:f>B50+C50+E50-D50</x:f>
        <x:v>4</x:v>
      </x:c>
      <x:c r="G50" s="36" t="n">
        <x:f>D50*$B$6</x:f>
        <x:v>0</x:v>
      </x:c>
      <x:c r="H50" s="36" t="n">
        <x:f>D50*$B$8</x:f>
        <x:v>0</x:v>
      </x:c>
      <x:c r="I50" s="34" t="str"/>
    </x:row>
    <x:row r="51">
      <x:c r="A51" s="40" t="str"/>
      <x:c r="B51" s="41" t="n">
        <x:f>F50</x:f>
        <x:v>4</x:v>
      </x:c>
      <x:c r="C51" s="41" t="n">
        <x:v>0</x:v>
      </x:c>
      <x:c r="D51" s="41" t="n">
        <x:v>0</x:v>
      </x:c>
      <x:c r="E51" s="41" t="n">
        <x:v>0</x:v>
      </x:c>
      <x:c r="F51" s="41" t="n">
        <x:f>B51+C51+E51-D51</x:f>
        <x:v>4</x:v>
      </x:c>
      <x:c r="G51" s="36" t="n">
        <x:f>D51*$B$6</x:f>
        <x:v>0</x:v>
      </x:c>
      <x:c r="H51" s="36" t="n">
        <x:f>D51*$B$8</x:f>
        <x:v>0</x:v>
      </x:c>
      <x:c r="I51" s="34" t="str"/>
    </x:row>
    <x:row r="52">
      <x:c r="A52" s="40" t="str"/>
      <x:c r="B52" s="41" t="n">
        <x:f>F51</x:f>
        <x:v>4</x:v>
      </x:c>
      <x:c r="C52" s="41" t="n">
        <x:v>0</x:v>
      </x:c>
      <x:c r="D52" s="41" t="n">
        <x:v>0</x:v>
      </x:c>
      <x:c r="E52" s="41" t="n">
        <x:v>0</x:v>
      </x:c>
      <x:c r="F52" s="41" t="n">
        <x:f>B52+C52+E52-D52</x:f>
        <x:v>4</x:v>
      </x:c>
      <x:c r="G52" s="36" t="n">
        <x:f>D52*$B$6</x:f>
        <x:v>0</x:v>
      </x:c>
      <x:c r="H52" s="36" t="n">
        <x:f>D52*$B$8</x:f>
        <x:v>0</x:v>
      </x:c>
      <x:c r="I52" s="34" t="str"/>
    </x:row>
    <x:row r="53">
      <x:c r="A53" s="40" t="str"/>
      <x:c r="B53" s="41" t="n">
        <x:f>F52</x:f>
        <x:v>4</x:v>
      </x:c>
      <x:c r="C53" s="41" t="n">
        <x:v>0</x:v>
      </x:c>
      <x:c r="D53" s="41" t="n">
        <x:v>0</x:v>
      </x:c>
      <x:c r="E53" s="41" t="n">
        <x:v>0</x:v>
      </x:c>
      <x:c r="F53" s="41" t="n">
        <x:f>B53+C53+E53-D53</x:f>
        <x:v>4</x:v>
      </x:c>
      <x:c r="G53" s="36" t="n">
        <x:f>D53*$B$6</x:f>
        <x:v>0</x:v>
      </x:c>
      <x:c r="H53" s="36" t="n">
        <x:f>D53*$B$8</x:f>
        <x:v>0</x:v>
      </x:c>
      <x:c r="I53" s="34" t="str"/>
    </x:row>
    <x:row r="54">
      <x:c r="A54" s="40" t="str"/>
      <x:c r="B54" s="41" t="n">
        <x:f>F53</x:f>
        <x:v>4</x:v>
      </x:c>
      <x:c r="C54" s="41" t="n">
        <x:v>0</x:v>
      </x:c>
      <x:c r="D54" s="41" t="n">
        <x:v>0</x:v>
      </x:c>
      <x:c r="E54" s="41" t="n">
        <x:v>0</x:v>
      </x:c>
      <x:c r="F54" s="41" t="n">
        <x:f>B54+C54+E54-D54</x:f>
        <x:v>4</x:v>
      </x:c>
      <x:c r="G54" s="36" t="n">
        <x:f>D54*$B$6</x:f>
        <x:v>0</x:v>
      </x:c>
      <x:c r="H54" s="36" t="n">
        <x:f>D54*$B$8</x:f>
        <x:v>0</x:v>
      </x:c>
      <x:c r="I54" s="34" t="str"/>
    </x:row>
    <x:row r="55">
      <x:c r="A55" s="40" t="str"/>
      <x:c r="B55" s="41" t="n">
        <x:f>F54</x:f>
        <x:v>4</x:v>
      </x:c>
      <x:c r="C55" s="41" t="n">
        <x:v>0</x:v>
      </x:c>
      <x:c r="D55" s="41" t="n">
        <x:v>0</x:v>
      </x:c>
      <x:c r="E55" s="41" t="n">
        <x:v>0</x:v>
      </x:c>
      <x:c r="F55" s="41" t="n">
        <x:f>B55+C55+E55-D55</x:f>
        <x:v>4</x:v>
      </x:c>
      <x:c r="G55" s="36" t="n">
        <x:f>D55*$B$6</x:f>
        <x:v>0</x:v>
      </x:c>
      <x:c r="H55" s="36" t="n">
        <x:f>D55*$B$8</x:f>
        <x:v>0</x:v>
      </x:c>
      <x:c r="I55" s="34" t="str"/>
    </x:row>
    <x:row r="56">
      <x:c r="A56" s="40" t="str"/>
      <x:c r="B56" s="41" t="n">
        <x:f>F55</x:f>
        <x:v>4</x:v>
      </x:c>
      <x:c r="C56" s="41" t="n">
        <x:v>0</x:v>
      </x:c>
      <x:c r="D56" s="41" t="n">
        <x:v>0</x:v>
      </x:c>
      <x:c r="E56" s="41" t="n">
        <x:v>0</x:v>
      </x:c>
      <x:c r="F56" s="41" t="n">
        <x:f>B56+C56+E56-D56</x:f>
        <x:v>4</x:v>
      </x:c>
      <x:c r="G56" s="36" t="n">
        <x:f>D56*$B$6</x:f>
        <x:v>0</x:v>
      </x:c>
      <x:c r="H56" s="36" t="n">
        <x:f>D56*$B$8</x:f>
        <x:v>0</x:v>
      </x:c>
      <x:c r="I56" s="34" t="str"/>
    </x:row>
    <x:row r="57">
      <x:c r="A57" s="40" t="str"/>
      <x:c r="B57" s="41" t="n">
        <x:f>F56</x:f>
        <x:v>4</x:v>
      </x:c>
      <x:c r="C57" s="41" t="n">
        <x:v>0</x:v>
      </x:c>
      <x:c r="D57" s="41" t="n">
        <x:v>0</x:v>
      </x:c>
      <x:c r="E57" s="41" t="n">
        <x:v>0</x:v>
      </x:c>
      <x:c r="F57" s="41" t="n">
        <x:f>B57+C57+E57-D57</x:f>
        <x:v>4</x:v>
      </x:c>
      <x:c r="G57" s="36" t="n">
        <x:f>D57*$B$6</x:f>
        <x:v>0</x:v>
      </x:c>
      <x:c r="H57" s="36" t="n">
        <x:f>D57*$B$8</x:f>
        <x:v>0</x:v>
      </x:c>
      <x:c r="I57" s="34" t="str"/>
    </x:row>
    <x:row r="58">
      <x:c r="A58" s="40" t="str"/>
      <x:c r="B58" s="41" t="n">
        <x:f>F57</x:f>
        <x:v>4</x:v>
      </x:c>
      <x:c r="C58" s="41" t="n">
        <x:v>0</x:v>
      </x:c>
      <x:c r="D58" s="41" t="n">
        <x:v>0</x:v>
      </x:c>
      <x:c r="E58" s="41" t="n">
        <x:v>0</x:v>
      </x:c>
      <x:c r="F58" s="41" t="n">
        <x:f>B58+C58+E58-D58</x:f>
        <x:v>4</x:v>
      </x:c>
      <x:c r="G58" s="36" t="n">
        <x:f>D58*$B$6</x:f>
        <x:v>0</x:v>
      </x:c>
      <x:c r="H58" s="36" t="n">
        <x:f>D58*$B$8</x:f>
        <x:v>0</x:v>
      </x:c>
      <x:c r="I58" s="34" t="str"/>
    </x:row>
    <x:row r="59">
      <x:c r="A59" s="40" t="str"/>
      <x:c r="B59" s="41" t="n">
        <x:f>F58</x:f>
        <x:v>4</x:v>
      </x:c>
      <x:c r="C59" s="41" t="n">
        <x:v>0</x:v>
      </x:c>
      <x:c r="D59" s="41" t="n">
        <x:v>0</x:v>
      </x:c>
      <x:c r="E59" s="41" t="n">
        <x:v>0</x:v>
      </x:c>
      <x:c r="F59" s="41" t="n">
        <x:f>B59+C59+E59-D59</x:f>
        <x:v>4</x:v>
      </x:c>
      <x:c r="G59" s="36" t="n">
        <x:f>D59*$B$6</x:f>
        <x:v>0</x:v>
      </x:c>
      <x:c r="H59" s="36" t="n">
        <x:f>D59*$B$8</x:f>
        <x:v>0</x:v>
      </x:c>
      <x:c r="I59" s="34" t="str"/>
    </x:row>
    <x:row r="60">
      <x:c r="A60" s="40" t="str"/>
      <x:c r="B60" s="41" t="n">
        <x:f>F59</x:f>
        <x:v>4</x:v>
      </x:c>
      <x:c r="C60" s="41" t="n">
        <x:v>0</x:v>
      </x:c>
      <x:c r="D60" s="41" t="n">
        <x:v>0</x:v>
      </x:c>
      <x:c r="E60" s="41" t="n">
        <x:v>0</x:v>
      </x:c>
      <x:c r="F60" s="41" t="n">
        <x:f>B60+C60+E60-D60</x:f>
        <x:v>4</x:v>
      </x:c>
      <x:c r="G60" s="36" t="n">
        <x:f>D60*$B$6</x:f>
        <x:v>0</x:v>
      </x:c>
      <x:c r="H60" s="36" t="n">
        <x:f>D60*$B$8</x:f>
        <x:v>0</x:v>
      </x:c>
      <x:c r="I60" s="34" t="str"/>
    </x:row>
    <x:row r="61">
      <x:c r="A61" s="40" t="str"/>
      <x:c r="B61" s="41" t="n">
        <x:f>F60</x:f>
        <x:v>4</x:v>
      </x:c>
      <x:c r="C61" s="41" t="n">
        <x:v>0</x:v>
      </x:c>
      <x:c r="D61" s="41" t="n">
        <x:v>0</x:v>
      </x:c>
      <x:c r="E61" s="41" t="n">
        <x:v>0</x:v>
      </x:c>
      <x:c r="F61" s="41" t="n">
        <x:f>B61+C61+E61-D61</x:f>
        <x:v>4</x:v>
      </x:c>
      <x:c r="G61" s="36" t="n">
        <x:f>D61*$B$6</x:f>
        <x:v>0</x:v>
      </x:c>
      <x:c r="H61" s="36" t="n">
        <x:f>D61*$B$8</x:f>
        <x:v>0</x:v>
      </x:c>
      <x:c r="I61" s="34" t="str"/>
    </x:row>
    <x:row r="62">
      <x:c r="A62" s="40" t="str"/>
      <x:c r="B62" s="41" t="n">
        <x:f>F61</x:f>
        <x:v>4</x:v>
      </x:c>
      <x:c r="C62" s="41" t="n">
        <x:v>0</x:v>
      </x:c>
      <x:c r="D62" s="41" t="n">
        <x:v>0</x:v>
      </x:c>
      <x:c r="E62" s="41" t="n">
        <x:v>0</x:v>
      </x:c>
      <x:c r="F62" s="41" t="n">
        <x:f>B62+C62+E62-D62</x:f>
        <x:v>4</x:v>
      </x:c>
      <x:c r="G62" s="36" t="n">
        <x:f>D62*$B$6</x:f>
        <x:v>0</x:v>
      </x:c>
      <x:c r="H62" s="36" t="n">
        <x:f>D62*$B$8</x:f>
        <x:v>0</x:v>
      </x:c>
      <x:c r="I62" s="34" t="str"/>
    </x:row>
    <x:row r="63">
      <x:c r="A63" s="40" t="str"/>
      <x:c r="B63" s="41" t="n">
        <x:f>F62</x:f>
        <x:v>4</x:v>
      </x:c>
      <x:c r="C63" s="41" t="n">
        <x:v>0</x:v>
      </x:c>
      <x:c r="D63" s="41" t="n">
        <x:v>0</x:v>
      </x:c>
      <x:c r="E63" s="41" t="n">
        <x:v>0</x:v>
      </x:c>
      <x:c r="F63" s="41" t="n">
        <x:f>B63+C63+E63-D63</x:f>
        <x:v>4</x:v>
      </x:c>
      <x:c r="G63" s="36" t="n">
        <x:f>D63*$B$6</x:f>
        <x:v>0</x:v>
      </x:c>
      <x:c r="H63" s="36" t="n">
        <x:f>D63*$B$8</x:f>
        <x:v>0</x:v>
      </x:c>
      <x:c r="I63" s="34" t="str"/>
    </x:row>
    <x:row r="64">
      <x:c r="A64" s="40" t="str"/>
      <x:c r="B64" s="41" t="n">
        <x:f>F63</x:f>
        <x:v>4</x:v>
      </x:c>
      <x:c r="C64" s="41" t="n">
        <x:v>0</x:v>
      </x:c>
      <x:c r="D64" s="41" t="n">
        <x:v>0</x:v>
      </x:c>
      <x:c r="E64" s="41" t="n">
        <x:v>0</x:v>
      </x:c>
      <x:c r="F64" s="41" t="n">
        <x:f>B64+C64+E64-D64</x:f>
        <x:v>4</x:v>
      </x:c>
      <x:c r="G64" s="36" t="n">
        <x:f>D64*$B$6</x:f>
        <x:v>0</x:v>
      </x:c>
      <x:c r="H64" s="36" t="n">
        <x:f>D64*$B$8</x:f>
        <x:v>0</x:v>
      </x:c>
      <x:c r="I64" s="34" t="str"/>
    </x:row>
    <x:row r="65">
      <x:c r="A65" s="40" t="str"/>
      <x:c r="B65" s="41" t="n">
        <x:f>F64</x:f>
        <x:v>4</x:v>
      </x:c>
      <x:c r="C65" s="41" t="n">
        <x:v>0</x:v>
      </x:c>
      <x:c r="D65" s="41" t="n">
        <x:v>0</x:v>
      </x:c>
      <x:c r="E65" s="41" t="n">
        <x:v>0</x:v>
      </x:c>
      <x:c r="F65" s="41" t="n">
        <x:f>B65+C65+E65-D65</x:f>
        <x:v>4</x:v>
      </x:c>
      <x:c r="G65" s="36" t="n">
        <x:f>D65*$B$6</x:f>
        <x:v>0</x:v>
      </x:c>
      <x:c r="H65" s="36" t="n">
        <x:f>D65*$B$8</x:f>
        <x:v>0</x:v>
      </x:c>
      <x:c r="I65" s="34" t="str"/>
    </x:row>
    <x:row r="66">
      <x:c r="A66" s="40" t="str"/>
      <x:c r="B66" s="41" t="n">
        <x:f>F65</x:f>
        <x:v>4</x:v>
      </x:c>
      <x:c r="C66" s="41" t="n">
        <x:v>0</x:v>
      </x:c>
      <x:c r="D66" s="41" t="n">
        <x:v>0</x:v>
      </x:c>
      <x:c r="E66" s="41" t="n">
        <x:v>0</x:v>
      </x:c>
      <x:c r="F66" s="41" t="n">
        <x:f>B66+C66+E66-D66</x:f>
        <x:v>4</x:v>
      </x:c>
      <x:c r="G66" s="36" t="n">
        <x:f>D66*$B$6</x:f>
        <x:v>0</x:v>
      </x:c>
      <x:c r="H66" s="36" t="n">
        <x:f>D66*$B$8</x:f>
        <x:v>0</x:v>
      </x:c>
      <x:c r="I66" s="34" t="str"/>
    </x:row>
    <x:row r="67">
      <x:c r="A67" s="40" t="str"/>
      <x:c r="B67" s="41" t="n">
        <x:f>F66</x:f>
        <x:v>4</x:v>
      </x:c>
      <x:c r="C67" s="41" t="n">
        <x:v>0</x:v>
      </x:c>
      <x:c r="D67" s="41" t="n">
        <x:v>0</x:v>
      </x:c>
      <x:c r="E67" s="41" t="n">
        <x:v>0</x:v>
      </x:c>
      <x:c r="F67" s="41" t="n">
        <x:f>B67+C67+E67-D67</x:f>
        <x:v>4</x:v>
      </x:c>
      <x:c r="G67" s="36" t="n">
        <x:f>D67*$B$6</x:f>
        <x:v>0</x:v>
      </x:c>
      <x:c r="H67" s="36" t="n">
        <x:f>D67*$B$8</x:f>
        <x:v>0</x:v>
      </x:c>
      <x:c r="I67" s="34" t="str"/>
    </x:row>
    <x:row r="68">
      <x:c r="A68" s="40" t="str"/>
      <x:c r="B68" s="41" t="n">
        <x:f>F67</x:f>
        <x:v>4</x:v>
      </x:c>
      <x:c r="C68" s="41" t="n">
        <x:v>0</x:v>
      </x:c>
      <x:c r="D68" s="41" t="n">
        <x:v>0</x:v>
      </x:c>
      <x:c r="E68" s="41" t="n">
        <x:v>0</x:v>
      </x:c>
      <x:c r="F68" s="41" t="n">
        <x:f>B68+C68+E68-D68</x:f>
        <x:v>4</x:v>
      </x:c>
      <x:c r="G68" s="36" t="n">
        <x:f>D68*$B$6</x:f>
        <x:v>0</x:v>
      </x:c>
      <x:c r="H68" s="36" t="n">
        <x:f>D68*$B$8</x:f>
        <x:v>0</x:v>
      </x:c>
      <x:c r="I68" s="34" t="str"/>
    </x:row>
    <x:row r="69">
      <x:c r="A69" s="40" t="str"/>
      <x:c r="B69" s="41" t="n">
        <x:f>F68</x:f>
        <x:v>4</x:v>
      </x:c>
      <x:c r="C69" s="41" t="n">
        <x:v>0</x:v>
      </x:c>
      <x:c r="D69" s="41" t="n">
        <x:v>0</x:v>
      </x:c>
      <x:c r="E69" s="41" t="n">
        <x:v>0</x:v>
      </x:c>
      <x:c r="F69" s="41" t="n">
        <x:f>B69+C69+E69-D69</x:f>
        <x:v>4</x:v>
      </x:c>
      <x:c r="G69" s="36" t="n">
        <x:f>D69*$B$6</x:f>
        <x:v>0</x:v>
      </x:c>
      <x:c r="H69" s="36" t="n">
        <x:f>D69*$B$8</x:f>
        <x:v>0</x:v>
      </x:c>
      <x:c r="I69" s="34" t="str"/>
    </x:row>
    <x:row r="70">
      <x:c r="A70" s="40" t="str"/>
      <x:c r="B70" s="41" t="n">
        <x:f>F69</x:f>
        <x:v>4</x:v>
      </x:c>
      <x:c r="C70" s="41" t="n">
        <x:v>0</x:v>
      </x:c>
      <x:c r="D70" s="41" t="n">
        <x:v>0</x:v>
      </x:c>
      <x:c r="E70" s="41" t="n">
        <x:v>0</x:v>
      </x:c>
      <x:c r="F70" s="41" t="n">
        <x:f>B70+C70+E70-D70</x:f>
        <x:v>4</x:v>
      </x:c>
      <x:c r="G70" s="36" t="n">
        <x:f>D70*$B$6</x:f>
        <x:v>0</x:v>
      </x:c>
      <x:c r="H70" s="36" t="n">
        <x:f>D70*$B$8</x:f>
        <x:v>0</x:v>
      </x:c>
      <x:c r="I70" s="34" t="str"/>
    </x:row>
    <x:row r="71">
      <x:c r="A71" s="40" t="str"/>
      <x:c r="B71" s="41" t="n">
        <x:f>F70</x:f>
        <x:v>4</x:v>
      </x:c>
      <x:c r="C71" s="41" t="n">
        <x:v>0</x:v>
      </x:c>
      <x:c r="D71" s="41" t="n">
        <x:v>0</x:v>
      </x:c>
      <x:c r="E71" s="41" t="n">
        <x:v>0</x:v>
      </x:c>
      <x:c r="F71" s="41" t="n">
        <x:f>B71+C71+E71-D71</x:f>
        <x:v>4</x:v>
      </x:c>
      <x:c r="G71" s="36" t="n">
        <x:f>D71*$B$6</x:f>
        <x:v>0</x:v>
      </x:c>
      <x:c r="H71" s="36" t="n">
        <x:f>D71*$B$8</x:f>
        <x:v>0</x:v>
      </x:c>
      <x:c r="I71" s="34" t="str"/>
    </x:row>
    <x:row r="72">
      <x:c r="A72" s="40" t="str"/>
      <x:c r="B72" s="41" t="n">
        <x:f>F71</x:f>
        <x:v>4</x:v>
      </x:c>
      <x:c r="C72" s="41" t="n">
        <x:v>0</x:v>
      </x:c>
      <x:c r="D72" s="41" t="n">
        <x:v>0</x:v>
      </x:c>
      <x:c r="E72" s="41" t="n">
        <x:v>0</x:v>
      </x:c>
      <x:c r="F72" s="41" t="n">
        <x:f>B72+C72+E72-D72</x:f>
        <x:v>4</x:v>
      </x:c>
      <x:c r="G72" s="36" t="n">
        <x:f>D72*$B$6</x:f>
        <x:v>0</x:v>
      </x:c>
      <x:c r="H72" s="36" t="n">
        <x:f>D72*$B$8</x:f>
        <x:v>0</x:v>
      </x:c>
      <x:c r="I72" s="34" t="str"/>
    </x:row>
    <x:row r="73">
      <x:c r="A73" s="40" t="str"/>
      <x:c r="B73" s="41" t="n">
        <x:f>F72</x:f>
        <x:v>4</x:v>
      </x:c>
      <x:c r="C73" s="41" t="n">
        <x:v>0</x:v>
      </x:c>
      <x:c r="D73" s="41" t="n">
        <x:v>0</x:v>
      </x:c>
      <x:c r="E73" s="41" t="n">
        <x:v>0</x:v>
      </x:c>
      <x:c r="F73" s="41" t="n">
        <x:f>B73+C73+E73-D73</x:f>
        <x:v>4</x:v>
      </x:c>
      <x:c r="G73" s="36" t="n">
        <x:f>D73*$B$6</x:f>
        <x:v>0</x:v>
      </x:c>
      <x:c r="H73" s="36" t="n">
        <x:f>D73*$B$8</x:f>
        <x:v>0</x:v>
      </x:c>
      <x:c r="I73" s="34" t="str"/>
    </x:row>
    <x:row r="74">
      <x:c r="A74" s="40" t="str"/>
      <x:c r="B74" s="41" t="n">
        <x:f>F73</x:f>
        <x:v>4</x:v>
      </x:c>
      <x:c r="C74" s="41" t="n">
        <x:v>0</x:v>
      </x:c>
      <x:c r="D74" s="41" t="n">
        <x:v>0</x:v>
      </x:c>
      <x:c r="E74" s="41" t="n">
        <x:v>0</x:v>
      </x:c>
      <x:c r="F74" s="41" t="n">
        <x:f>B74+C74+E74-D74</x:f>
        <x:v>4</x:v>
      </x:c>
      <x:c r="G74" s="36" t="n">
        <x:f>D74*$B$6</x:f>
        <x:v>0</x:v>
      </x:c>
      <x:c r="H74" s="36" t="n">
        <x:f>D74*$B$8</x:f>
        <x:v>0</x:v>
      </x:c>
      <x:c r="I74" s="34" t="str"/>
    </x:row>
    <x:row r="75">
      <x:c r="A75" s="40" t="str"/>
      <x:c r="B75" s="41" t="n">
        <x:f>F74</x:f>
        <x:v>4</x:v>
      </x:c>
      <x:c r="C75" s="41" t="n">
        <x:v>0</x:v>
      </x:c>
      <x:c r="D75" s="41" t="n">
        <x:v>0</x:v>
      </x:c>
      <x:c r="E75" s="41" t="n">
        <x:v>0</x:v>
      </x:c>
      <x:c r="F75" s="41" t="n">
        <x:f>B75+C75+E75-D75</x:f>
        <x:v>4</x:v>
      </x:c>
      <x:c r="G75" s="36" t="n">
        <x:f>D75*$B$6</x:f>
        <x:v>0</x:v>
      </x:c>
      <x:c r="H75" s="36" t="n">
        <x:f>D75*$B$8</x:f>
        <x:v>0</x:v>
      </x:c>
      <x:c r="I75" s="34" t="str"/>
    </x:row>
    <x:row r="76">
      <x:c r="A76" s="40" t="str"/>
      <x:c r="B76" s="41" t="n">
        <x:f>F75</x:f>
        <x:v>4</x:v>
      </x:c>
      <x:c r="C76" s="41" t="n">
        <x:v>0</x:v>
      </x:c>
      <x:c r="D76" s="41" t="n">
        <x:v>0</x:v>
      </x:c>
      <x:c r="E76" s="41" t="n">
        <x:v>0</x:v>
      </x:c>
      <x:c r="F76" s="41" t="n">
        <x:f>B76+C76+E76-D76</x:f>
        <x:v>4</x:v>
      </x:c>
      <x:c r="G76" s="36" t="n">
        <x:f>D76*$B$6</x:f>
        <x:v>0</x:v>
      </x:c>
      <x:c r="H76" s="36" t="n">
        <x:f>D76*$B$8</x:f>
        <x:v>0</x:v>
      </x:c>
      <x:c r="I76" s="34" t="str"/>
    </x:row>
    <x:row r="77">
      <x:c r="A77" s="40" t="str"/>
      <x:c r="B77" s="41" t="n">
        <x:f>F76</x:f>
        <x:v>4</x:v>
      </x:c>
      <x:c r="C77" s="41" t="n">
        <x:v>0</x:v>
      </x:c>
      <x:c r="D77" s="41" t="n">
        <x:v>0</x:v>
      </x:c>
      <x:c r="E77" s="41" t="n">
        <x:v>0</x:v>
      </x:c>
      <x:c r="F77" s="41" t="n">
        <x:f>B77+C77+E77-D77</x:f>
        <x:v>4</x:v>
      </x:c>
      <x:c r="G77" s="36" t="n">
        <x:f>D77*$B$6</x:f>
        <x:v>0</x:v>
      </x:c>
      <x:c r="H77" s="36" t="n">
        <x:f>D77*$B$8</x:f>
        <x:v>0</x:v>
      </x:c>
      <x:c r="I77" s="34" t="str"/>
    </x:row>
    <x:row r="78">
      <x:c r="A78" s="40" t="str"/>
      <x:c r="B78" s="41" t="n">
        <x:f>F77</x:f>
        <x:v>4</x:v>
      </x:c>
      <x:c r="C78" s="41" t="n">
        <x:v>0</x:v>
      </x:c>
      <x:c r="D78" s="41" t="n">
        <x:v>0</x:v>
      </x:c>
      <x:c r="E78" s="41" t="n">
        <x:v>0</x:v>
      </x:c>
      <x:c r="F78" s="41" t="n">
        <x:f>B78+C78+E78-D78</x:f>
        <x:v>4</x:v>
      </x:c>
      <x:c r="G78" s="36" t="n">
        <x:f>D78*$B$6</x:f>
        <x:v>0</x:v>
      </x:c>
      <x:c r="H78" s="36" t="n">
        <x:f>D78*$B$8</x:f>
        <x:v>0</x:v>
      </x:c>
      <x:c r="I78" s="34" t="str"/>
    </x:row>
    <x:row r="79">
      <x:c r="A79" s="40" t="str"/>
      <x:c r="B79" s="41" t="n">
        <x:f>F78</x:f>
        <x:v>4</x:v>
      </x:c>
      <x:c r="C79" s="41" t="n">
        <x:v>0</x:v>
      </x:c>
      <x:c r="D79" s="41" t="n">
        <x:v>0</x:v>
      </x:c>
      <x:c r="E79" s="41" t="n">
        <x:v>0</x:v>
      </x:c>
      <x:c r="F79" s="41" t="n">
        <x:f>B79+C79+E79-D79</x:f>
        <x:v>4</x:v>
      </x:c>
      <x:c r="G79" s="36" t="n">
        <x:f>D79*$B$6</x:f>
        <x:v>0</x:v>
      </x:c>
      <x:c r="H79" s="36" t="n">
        <x:f>D79*$B$8</x:f>
        <x:v>0</x:v>
      </x:c>
      <x:c r="I79" s="34" t="str"/>
    </x:row>
    <x:row r="80">
      <x:c r="A80" s="40" t="str"/>
      <x:c r="B80" s="41" t="n">
        <x:f>F79</x:f>
        <x:v>4</x:v>
      </x:c>
      <x:c r="C80" s="41" t="n">
        <x:v>0</x:v>
      </x:c>
      <x:c r="D80" s="41" t="n">
        <x:v>0</x:v>
      </x:c>
      <x:c r="E80" s="41" t="n">
        <x:v>0</x:v>
      </x:c>
      <x:c r="F80" s="41" t="n">
        <x:f>B80+C80+E80-D80</x:f>
        <x:v>4</x:v>
      </x:c>
      <x:c r="G80" s="36" t="n">
        <x:f>D80*$B$6</x:f>
        <x:v>0</x:v>
      </x:c>
      <x:c r="H80" s="36" t="n">
        <x:f>D80*$B$8</x:f>
        <x:v>0</x:v>
      </x:c>
      <x:c r="I80" s="34" t="str"/>
    </x:row>
    <x:row r="81">
      <x:c r="A81" s="40" t="str"/>
      <x:c r="B81" s="41" t="n">
        <x:f>F80</x:f>
        <x:v>4</x:v>
      </x:c>
      <x:c r="C81" s="41" t="n">
        <x:v>0</x:v>
      </x:c>
      <x:c r="D81" s="41" t="n">
        <x:v>0</x:v>
      </x:c>
      <x:c r="E81" s="41" t="n">
        <x:v>0</x:v>
      </x:c>
      <x:c r="F81" s="41" t="n">
        <x:f>B81+C81+E81-D81</x:f>
        <x:v>4</x:v>
      </x:c>
      <x:c r="G81" s="36" t="n">
        <x:f>D81*$B$6</x:f>
        <x:v>0</x:v>
      </x:c>
      <x:c r="H81" s="36" t="n">
        <x:f>D81*$B$8</x:f>
        <x:v>0</x:v>
      </x:c>
      <x:c r="I81" s="34" t="str"/>
    </x:row>
    <x:row r="82">
      <x:c r="A82" s="40" t="str"/>
      <x:c r="B82" s="41" t="n">
        <x:f>F81</x:f>
        <x:v>4</x:v>
      </x:c>
      <x:c r="C82" s="41" t="n">
        <x:v>0</x:v>
      </x:c>
      <x:c r="D82" s="41" t="n">
        <x:v>0</x:v>
      </x:c>
      <x:c r="E82" s="41" t="n">
        <x:v>0</x:v>
      </x:c>
      <x:c r="F82" s="41" t="n">
        <x:f>B82+C82+E82-D82</x:f>
        <x:v>4</x:v>
      </x:c>
      <x:c r="G82" s="36" t="n">
        <x:f>D82*$B$6</x:f>
        <x:v>0</x:v>
      </x:c>
      <x:c r="H82" s="36" t="n">
        <x:f>D82*$B$8</x:f>
        <x:v>0</x:v>
      </x:c>
      <x:c r="I82" s="34" t="str"/>
    </x:row>
    <x:row r="83">
      <x:c r="A83" s="40" t="str"/>
      <x:c r="B83" s="41" t="n">
        <x:f>F82</x:f>
        <x:v>4</x:v>
      </x:c>
      <x:c r="C83" s="41" t="n">
        <x:v>0</x:v>
      </x:c>
      <x:c r="D83" s="41" t="n">
        <x:v>0</x:v>
      </x:c>
      <x:c r="E83" s="41" t="n">
        <x:v>0</x:v>
      </x:c>
      <x:c r="F83" s="41" t="n">
        <x:f>B83+C83+E83-D83</x:f>
        <x:v>4</x:v>
      </x:c>
      <x:c r="G83" s="36" t="n">
        <x:f>D83*$B$6</x:f>
        <x:v>0</x:v>
      </x:c>
      <x:c r="H83" s="36" t="n">
        <x:f>D83*$B$8</x:f>
        <x:v>0</x:v>
      </x:c>
      <x:c r="I83" s="34" t="str"/>
    </x:row>
    <x:row r="84">
      <x:c r="A84" s="40" t="str"/>
      <x:c r="B84" s="41" t="n">
        <x:f>F83</x:f>
        <x:v>4</x:v>
      </x:c>
      <x:c r="C84" s="41" t="n">
        <x:v>0</x:v>
      </x:c>
      <x:c r="D84" s="41" t="n">
        <x:v>0</x:v>
      </x:c>
      <x:c r="E84" s="41" t="n">
        <x:v>0</x:v>
      </x:c>
      <x:c r="F84" s="41" t="n">
        <x:f>B84+C84+E84-D84</x:f>
        <x:v>4</x:v>
      </x:c>
      <x:c r="G84" s="36" t="n">
        <x:f>D84*$B$6</x:f>
        <x:v>0</x:v>
      </x:c>
      <x:c r="H84" s="36" t="n">
        <x:f>D84*$B$8</x:f>
        <x:v>0</x:v>
      </x:c>
      <x:c r="I84" s="34" t="str"/>
    </x:row>
    <x:row r="85">
      <x:c r="A85" s="40" t="str"/>
      <x:c r="B85" s="41" t="n">
        <x:f>F84</x:f>
        <x:v>4</x:v>
      </x:c>
      <x:c r="C85" s="41" t="n">
        <x:v>0</x:v>
      </x:c>
      <x:c r="D85" s="41" t="n">
        <x:v>0</x:v>
      </x:c>
      <x:c r="E85" s="41" t="n">
        <x:v>0</x:v>
      </x:c>
      <x:c r="F85" s="41" t="n">
        <x:f>B85+C85+E85-D85</x:f>
        <x:v>4</x:v>
      </x:c>
      <x:c r="G85" s="36" t="n">
        <x:f>D85*$B$6</x:f>
        <x:v>0</x:v>
      </x:c>
      <x:c r="H85" s="36" t="n">
        <x:f>D85*$B$8</x:f>
        <x:v>0</x:v>
      </x:c>
      <x:c r="I85" s="34" t="str"/>
    </x:row>
    <x:row r="86">
      <x:c r="A86" s="40" t="str"/>
      <x:c r="B86" s="41" t="n">
        <x:f>F85</x:f>
        <x:v>4</x:v>
      </x:c>
      <x:c r="C86" s="41" t="n">
        <x:v>0</x:v>
      </x:c>
      <x:c r="D86" s="41" t="n">
        <x:v>0</x:v>
      </x:c>
      <x:c r="E86" s="41" t="n">
        <x:v>0</x:v>
      </x:c>
      <x:c r="F86" s="41" t="n">
        <x:f>B86+C86+E86-D86</x:f>
        <x:v>4</x:v>
      </x:c>
      <x:c r="G86" s="36" t="n">
        <x:f>D86*$B$6</x:f>
        <x:v>0</x:v>
      </x:c>
      <x:c r="H86" s="36" t="n">
        <x:f>D86*$B$8</x:f>
        <x:v>0</x:v>
      </x:c>
      <x:c r="I86" s="34" t="str"/>
    </x:row>
    <x:row r="87">
      <x:c r="A87" s="40" t="str"/>
      <x:c r="B87" s="41" t="n">
        <x:f>F86</x:f>
        <x:v>4</x:v>
      </x:c>
      <x:c r="C87" s="41" t="n">
        <x:v>0</x:v>
      </x:c>
      <x:c r="D87" s="41" t="n">
        <x:v>0</x:v>
      </x:c>
      <x:c r="E87" s="41" t="n">
        <x:v>0</x:v>
      </x:c>
      <x:c r="F87" s="41" t="n">
        <x:f>B87+C87+E87-D87</x:f>
        <x:v>4</x:v>
      </x:c>
      <x:c r="G87" s="36" t="n">
        <x:f>D87*$B$6</x:f>
        <x:v>0</x:v>
      </x:c>
      <x:c r="H87" s="36" t="n">
        <x:f>D87*$B$8</x:f>
        <x:v>0</x:v>
      </x:c>
      <x:c r="I87" s="34" t="str"/>
    </x:row>
    <x:row r="88">
      <x:c r="A88" s="40" t="str"/>
      <x:c r="B88" s="41" t="n">
        <x:f>F87</x:f>
        <x:v>4</x:v>
      </x:c>
      <x:c r="C88" s="41" t="n">
        <x:v>0</x:v>
      </x:c>
      <x:c r="D88" s="41" t="n">
        <x:v>0</x:v>
      </x:c>
      <x:c r="E88" s="41" t="n">
        <x:v>0</x:v>
      </x:c>
      <x:c r="F88" s="41" t="n">
        <x:f>B88+C88+E88-D88</x:f>
        <x:v>4</x:v>
      </x:c>
      <x:c r="G88" s="36" t="n">
        <x:f>D88*$B$6</x:f>
        <x:v>0</x:v>
      </x:c>
      <x:c r="H88" s="36" t="n">
        <x:f>D88*$B$8</x:f>
        <x:v>0</x:v>
      </x:c>
      <x:c r="I88" s="34" t="str"/>
    </x:row>
    <x:row r="89">
      <x:c r="A89" s="40" t="str"/>
      <x:c r="B89" s="41" t="n">
        <x:f>F88</x:f>
        <x:v>4</x:v>
      </x:c>
      <x:c r="C89" s="41" t="n">
        <x:v>0</x:v>
      </x:c>
      <x:c r="D89" s="41" t="n">
        <x:v>0</x:v>
      </x:c>
      <x:c r="E89" s="41" t="n">
        <x:v>0</x:v>
      </x:c>
      <x:c r="F89" s="41" t="n">
        <x:f>B89+C89+E89-D89</x:f>
        <x:v>4</x:v>
      </x:c>
      <x:c r="G89" s="36" t="n">
        <x:f>D89*$B$6</x:f>
        <x:v>0</x:v>
      </x:c>
      <x:c r="H89" s="36" t="n">
        <x:f>D89*$B$8</x:f>
        <x:v>0</x:v>
      </x:c>
      <x:c r="I89" s="34" t="str"/>
    </x:row>
    <x:row r="90">
      <x:c r="A90" s="40" t="str"/>
      <x:c r="B90" s="41" t="n">
        <x:f>F89</x:f>
        <x:v>4</x:v>
      </x:c>
      <x:c r="C90" s="41" t="n">
        <x:v>0</x:v>
      </x:c>
      <x:c r="D90" s="41" t="n">
        <x:v>0</x:v>
      </x:c>
      <x:c r="E90" s="41" t="n">
        <x:v>0</x:v>
      </x:c>
      <x:c r="F90" s="41" t="n">
        <x:f>B90+C90+E90-D90</x:f>
        <x:v>4</x:v>
      </x:c>
      <x:c r="G90" s="36" t="n">
        <x:f>D90*$B$6</x:f>
        <x:v>0</x:v>
      </x:c>
      <x:c r="H90" s="36" t="n">
        <x:f>D90*$B$8</x:f>
        <x:v>0</x:v>
      </x:c>
      <x:c r="I90" s="34" t="str"/>
    </x:row>
    <x:row r="91">
      <x:c r="A91" s="40" t="str"/>
      <x:c r="B91" s="41" t="n">
        <x:f>F90</x:f>
        <x:v>4</x:v>
      </x:c>
      <x:c r="C91" s="41" t="n">
        <x:v>0</x:v>
      </x:c>
      <x:c r="D91" s="41" t="n">
        <x:v>0</x:v>
      </x:c>
      <x:c r="E91" s="41" t="n">
        <x:v>0</x:v>
      </x:c>
      <x:c r="F91" s="41" t="n">
        <x:f>B91+C91+E91-D91</x:f>
        <x:v>4</x:v>
      </x:c>
      <x:c r="G91" s="36" t="n">
        <x:f>D91*$B$6</x:f>
        <x:v>0</x:v>
      </x:c>
      <x:c r="H91" s="36" t="n">
        <x:f>D91*$B$8</x:f>
        <x:v>0</x:v>
      </x:c>
      <x:c r="I91" s="34" t="str"/>
    </x:row>
    <x:row r="92">
      <x:c r="A92" s="40" t="str"/>
      <x:c r="B92" s="41" t="n">
        <x:f>F91</x:f>
        <x:v>4</x:v>
      </x:c>
      <x:c r="C92" s="41" t="n">
        <x:v>0</x:v>
      </x:c>
      <x:c r="D92" s="41" t="n">
        <x:v>0</x:v>
      </x:c>
      <x:c r="E92" s="41" t="n">
        <x:v>0</x:v>
      </x:c>
      <x:c r="F92" s="41" t="n">
        <x:f>B92+C92+E92-D92</x:f>
        <x:v>4</x:v>
      </x:c>
      <x:c r="G92" s="36" t="n">
        <x:f>D92*$B$6</x:f>
        <x:v>0</x:v>
      </x:c>
      <x:c r="H92" s="36" t="n">
        <x:f>D92*$B$8</x:f>
        <x:v>0</x:v>
      </x:c>
      <x:c r="I92" s="34" t="str"/>
    </x:row>
    <x:row r="93">
      <x:c r="A93" s="40" t="str"/>
      <x:c r="B93" s="41" t="n">
        <x:f>F92</x:f>
        <x:v>4</x:v>
      </x:c>
      <x:c r="C93" s="41" t="n">
        <x:v>0</x:v>
      </x:c>
      <x:c r="D93" s="41" t="n">
        <x:v>0</x:v>
      </x:c>
      <x:c r="E93" s="41" t="n">
        <x:v>0</x:v>
      </x:c>
      <x:c r="F93" s="41" t="n">
        <x:f>B93+C93+E93-D93</x:f>
        <x:v>4</x:v>
      </x:c>
      <x:c r="G93" s="36" t="n">
        <x:f>D93*$B$6</x:f>
        <x:v>0</x:v>
      </x:c>
      <x:c r="H93" s="36" t="n">
        <x:f>D93*$B$8</x:f>
        <x:v>0</x:v>
      </x:c>
      <x:c r="I93" s="34" t="str"/>
    </x:row>
    <x:row r="94">
      <x:c r="A94" s="40" t="str"/>
      <x:c r="B94" s="41" t="n">
        <x:f>F93</x:f>
        <x:v>4</x:v>
      </x:c>
      <x:c r="C94" s="41" t="n">
        <x:v>0</x:v>
      </x:c>
      <x:c r="D94" s="41" t="n">
        <x:v>0</x:v>
      </x:c>
      <x:c r="E94" s="41" t="n">
        <x:v>0</x:v>
      </x:c>
      <x:c r="F94" s="41" t="n">
        <x:f>B94+C94+E94-D94</x:f>
        <x:v>4</x:v>
      </x:c>
      <x:c r="G94" s="36" t="n">
        <x:f>D94*$B$6</x:f>
        <x:v>0</x:v>
      </x:c>
      <x:c r="H94" s="36" t="n">
        <x:f>D94*$B$8</x:f>
        <x:v>0</x:v>
      </x:c>
      <x:c r="I94" s="34" t="str"/>
    </x:row>
    <x:row r="95">
      <x:c r="A95" s="40" t="str"/>
      <x:c r="B95" s="41" t="n">
        <x:f>F94</x:f>
        <x:v>4</x:v>
      </x:c>
      <x:c r="C95" s="41" t="n">
        <x:v>0</x:v>
      </x:c>
      <x:c r="D95" s="41" t="n">
        <x:v>0</x:v>
      </x:c>
      <x:c r="E95" s="41" t="n">
        <x:v>0</x:v>
      </x:c>
      <x:c r="F95" s="41" t="n">
        <x:f>B95+C95+E95-D95</x:f>
        <x:v>4</x:v>
      </x:c>
      <x:c r="G95" s="36" t="n">
        <x:f>D95*$B$6</x:f>
        <x:v>0</x:v>
      </x:c>
      <x:c r="H95" s="36" t="n">
        <x:f>D95*$B$8</x:f>
        <x:v>0</x:v>
      </x:c>
      <x:c r="I95" s="34" t="str"/>
    </x:row>
    <x:row r="96">
      <x:c r="A96" s="40" t="str"/>
      <x:c r="B96" s="41" t="n">
        <x:f>F95</x:f>
        <x:v>4</x:v>
      </x:c>
      <x:c r="C96" s="41" t="n">
        <x:v>0</x:v>
      </x:c>
      <x:c r="D96" s="41" t="n">
        <x:v>0</x:v>
      </x:c>
      <x:c r="E96" s="41" t="n">
        <x:v>0</x:v>
      </x:c>
      <x:c r="F96" s="41" t="n">
        <x:f>B96+C96+E96-D96</x:f>
        <x:v>4</x:v>
      </x:c>
      <x:c r="G96" s="36" t="n">
        <x:f>D96*$B$6</x:f>
        <x:v>0</x:v>
      </x:c>
      <x:c r="H96" s="36" t="n">
        <x:f>D96*$B$8</x:f>
        <x:v>0</x:v>
      </x:c>
      <x:c r="I96" s="34" t="str"/>
    </x:row>
    <x:row r="97">
      <x:c r="A97" s="40" t="str"/>
      <x:c r="B97" s="41" t="n">
        <x:f>F96</x:f>
        <x:v>4</x:v>
      </x:c>
      <x:c r="C97" s="41" t="n">
        <x:v>0</x:v>
      </x:c>
      <x:c r="D97" s="41" t="n">
        <x:v>0</x:v>
      </x:c>
      <x:c r="E97" s="41" t="n">
        <x:v>0</x:v>
      </x:c>
      <x:c r="F97" s="41" t="n">
        <x:f>B97+C97+E97-D97</x:f>
        <x:v>4</x:v>
      </x:c>
      <x:c r="G97" s="36" t="n">
        <x:f>D97*$B$6</x:f>
        <x:v>0</x:v>
      </x:c>
      <x:c r="H97" s="36" t="n">
        <x:f>D97*$B$8</x:f>
        <x:v>0</x:v>
      </x:c>
      <x:c r="I97" s="34" t="str"/>
    </x:row>
    <x:row r="98">
      <x:c r="A98" s="40" t="str"/>
      <x:c r="B98" s="41" t="n">
        <x:f>F97</x:f>
        <x:v>4</x:v>
      </x:c>
      <x:c r="C98" s="41" t="n">
        <x:v>0</x:v>
      </x:c>
      <x:c r="D98" s="41" t="n">
        <x:v>0</x:v>
      </x:c>
      <x:c r="E98" s="41" t="n">
        <x:v>0</x:v>
      </x:c>
      <x:c r="F98" s="41" t="n">
        <x:f>B98+C98+E98-D98</x:f>
        <x:v>4</x:v>
      </x:c>
      <x:c r="G98" s="36" t="n">
        <x:f>D98*$B$6</x:f>
        <x:v>0</x:v>
      </x:c>
      <x:c r="H98" s="36" t="n">
        <x:f>D98*$B$8</x:f>
        <x:v>0</x:v>
      </x:c>
      <x:c r="I98" s="34" t="str"/>
    </x:row>
    <x:row r="99">
      <x:c r="A99" s="40" t="str"/>
      <x:c r="B99" s="41" t="n">
        <x:f>F98</x:f>
        <x:v>4</x:v>
      </x:c>
      <x:c r="C99" s="41" t="n">
        <x:v>0</x:v>
      </x:c>
      <x:c r="D99" s="41" t="n">
        <x:v>0</x:v>
      </x:c>
      <x:c r="E99" s="41" t="n">
        <x:v>0</x:v>
      </x:c>
      <x:c r="F99" s="41" t="n">
        <x:f>B99+C99+E99-D99</x:f>
        <x:v>4</x:v>
      </x:c>
      <x:c r="G99" s="36" t="n">
        <x:f>D99*$B$6</x:f>
        <x:v>0</x:v>
      </x:c>
      <x:c r="H99" s="36" t="n">
        <x:f>D99*$B$8</x:f>
        <x:v>0</x:v>
      </x:c>
      <x:c r="I99" s="34" t="str"/>
    </x:row>
    <x:row r="100">
      <x:c r="A100" s="40" t="str"/>
      <x:c r="B100" s="41" t="n">
        <x:f>F99</x:f>
        <x:v>4</x:v>
      </x:c>
      <x:c r="C100" s="41" t="n">
        <x:v>0</x:v>
      </x:c>
      <x:c r="D100" s="41" t="n">
        <x:v>0</x:v>
      </x:c>
      <x:c r="E100" s="41" t="n">
        <x:v>0</x:v>
      </x:c>
      <x:c r="F100" s="41" t="n">
        <x:f>B100+C100+E100-D100</x:f>
        <x:v>4</x:v>
      </x:c>
      <x:c r="G100" s="36" t="n">
        <x:f>D100*$B$6</x:f>
        <x:v>0</x:v>
      </x:c>
      <x:c r="H100" s="36" t="n">
        <x:f>D100*$B$8</x:f>
        <x:v>0</x:v>
      </x:c>
      <x:c r="I100" s="34" t="str"/>
    </x:row>
    <x:row r="101">
      <x:c r="A101" s="40" t="str"/>
      <x:c r="B101" s="41" t="n">
        <x:f>F100</x:f>
        <x:v>4</x:v>
      </x:c>
      <x:c r="C101" s="41" t="n">
        <x:v>0</x:v>
      </x:c>
      <x:c r="D101" s="41" t="n">
        <x:v>0</x:v>
      </x:c>
      <x:c r="E101" s="41" t="n">
        <x:v>0</x:v>
      </x:c>
      <x:c r="F101" s="41" t="n">
        <x:f>B101+C101+E101-D101</x:f>
        <x:v>4</x:v>
      </x:c>
      <x:c r="G101" s="36" t="n">
        <x:f>D101*$B$6</x:f>
        <x:v>0</x:v>
      </x:c>
      <x:c r="H101" s="36" t="n">
        <x:f>D101*$B$8</x:f>
        <x:v>0</x:v>
      </x:c>
      <x:c r="I101" s="34" t="str"/>
    </x:row>
    <x:row r="102">
      <x:c r="A102" s="40" t="str"/>
      <x:c r="B102" s="41" t="n">
        <x:f>F101</x:f>
        <x:v>4</x:v>
      </x:c>
      <x:c r="C102" s="41" t="n">
        <x:v>0</x:v>
      </x:c>
      <x:c r="D102" s="41" t="n">
        <x:v>0</x:v>
      </x:c>
      <x:c r="E102" s="41" t="n">
        <x:v>0</x:v>
      </x:c>
      <x:c r="F102" s="41" t="n">
        <x:f>B102+C102+E102-D102</x:f>
        <x:v>4</x:v>
      </x:c>
      <x:c r="G102" s="36" t="n">
        <x:f>D102*$B$6</x:f>
        <x:v>0</x:v>
      </x:c>
      <x:c r="H102" s="36" t="n">
        <x:f>D102*$B$8</x:f>
        <x:v>0</x:v>
      </x:c>
      <x:c r="I102" s="34" t="str"/>
    </x:row>
    <x:row r="103">
      <x:c r="A103" s="40" t="str"/>
      <x:c r="B103" s="41" t="n">
        <x:f>F102</x:f>
        <x:v>4</x:v>
      </x:c>
      <x:c r="C103" s="41" t="n">
        <x:v>0</x:v>
      </x:c>
      <x:c r="D103" s="41" t="n">
        <x:v>0</x:v>
      </x:c>
      <x:c r="E103" s="41" t="n">
        <x:v>0</x:v>
      </x:c>
      <x:c r="F103" s="41" t="n">
        <x:f>B103+C103+E103-D103</x:f>
        <x:v>4</x:v>
      </x:c>
      <x:c r="G103" s="36" t="n">
        <x:f>D103*$B$6</x:f>
        <x:v>0</x:v>
      </x:c>
      <x:c r="H103" s="36" t="n">
        <x:f>D103*$B$8</x:f>
        <x:v>0</x:v>
      </x:c>
      <x:c r="I103" s="34" t="str"/>
    </x:row>
    <x:row r="104">
      <x:c r="A104" s="40" t="str"/>
      <x:c r="B104" s="41" t="n">
        <x:f>F103</x:f>
        <x:v>4</x:v>
      </x:c>
      <x:c r="C104" s="41" t="n">
        <x:v>0</x:v>
      </x:c>
      <x:c r="D104" s="41" t="n">
        <x:v>0</x:v>
      </x:c>
      <x:c r="E104" s="41" t="n">
        <x:v>0</x:v>
      </x:c>
      <x:c r="F104" s="41" t="n">
        <x:f>B104+C104+E104-D104</x:f>
        <x:v>4</x:v>
      </x:c>
      <x:c r="G104" s="36" t="n">
        <x:f>D104*$B$6</x:f>
        <x:v>0</x:v>
      </x:c>
      <x:c r="H104" s="36" t="n">
        <x:f>D104*$B$8</x:f>
        <x:v>0</x:v>
      </x:c>
      <x:c r="I104" s="34" t="str"/>
    </x:row>
    <x:row r="105">
      <x:c r="A105" s="40" t="str"/>
      <x:c r="B105" s="41" t="n">
        <x:f>F104</x:f>
        <x:v>4</x:v>
      </x:c>
      <x:c r="C105" s="41" t="n">
        <x:v>0</x:v>
      </x:c>
      <x:c r="D105" s="41" t="n">
        <x:v>0</x:v>
      </x:c>
      <x:c r="E105" s="41" t="n">
        <x:v>0</x:v>
      </x:c>
      <x:c r="F105" s="41" t="n">
        <x:f>B105+C105+E105-D105</x:f>
        <x:v>4</x:v>
      </x:c>
      <x:c r="G105" s="36" t="n">
        <x:f>D105*$B$6</x:f>
        <x:v>0</x:v>
      </x:c>
      <x:c r="H105" s="36" t="n">
        <x:f>D105*$B$8</x:f>
        <x:v>0</x:v>
      </x:c>
      <x:c r="I105" s="34" t="str"/>
    </x:row>
    <x:row r="106">
      <x:c r="A106" s="40" t="str"/>
      <x:c r="B106" s="41" t="n">
        <x:f>F105</x:f>
        <x:v>4</x:v>
      </x:c>
      <x:c r="C106" s="41" t="n">
        <x:v>0</x:v>
      </x:c>
      <x:c r="D106" s="41" t="n">
        <x:v>0</x:v>
      </x:c>
      <x:c r="E106" s="41" t="n">
        <x:v>0</x:v>
      </x:c>
      <x:c r="F106" s="41" t="n">
        <x:f>B106+C106+E106-D106</x:f>
        <x:v>4</x:v>
      </x:c>
      <x:c r="G106" s="36" t="n">
        <x:f>D106*$B$6</x:f>
        <x:v>0</x:v>
      </x:c>
      <x:c r="H106" s="36" t="n">
        <x:f>D106*$B$8</x:f>
        <x:v>0</x:v>
      </x:c>
      <x:c r="I106" s="34" t="str"/>
    </x:row>
    <x:row r="107">
      <x:c r="A107" s="40" t="str"/>
      <x:c r="B107" s="41" t="n">
        <x:f>F106</x:f>
        <x:v>4</x:v>
      </x:c>
      <x:c r="C107" s="41" t="n">
        <x:v>0</x:v>
      </x:c>
      <x:c r="D107" s="41" t="n">
        <x:v>0</x:v>
      </x:c>
      <x:c r="E107" s="41" t="n">
        <x:v>0</x:v>
      </x:c>
      <x:c r="F107" s="41" t="n">
        <x:f>B107+C107+E107-D107</x:f>
        <x:v>4</x:v>
      </x:c>
      <x:c r="G107" s="36" t="n">
        <x:f>D107*$B$6</x:f>
        <x:v>0</x:v>
      </x:c>
      <x:c r="H107" s="36" t="n">
        <x:f>D107*$B$8</x:f>
        <x:v>0</x:v>
      </x:c>
      <x:c r="I107" s="34" t="str"/>
    </x:row>
    <x:row r="108">
      <x:c r="A108" s="40" t="str"/>
      <x:c r="B108" s="41" t="n">
        <x:f>F107</x:f>
        <x:v>4</x:v>
      </x:c>
      <x:c r="C108" s="41" t="n">
        <x:v>0</x:v>
      </x:c>
      <x:c r="D108" s="41" t="n">
        <x:v>0</x:v>
      </x:c>
      <x:c r="E108" s="41" t="n">
        <x:v>0</x:v>
      </x:c>
      <x:c r="F108" s="41" t="n">
        <x:f>B108+C108+E108-D108</x:f>
        <x:v>4</x:v>
      </x:c>
      <x:c r="G108" s="36" t="n">
        <x:f>D108*$B$6</x:f>
        <x:v>0</x:v>
      </x:c>
      <x:c r="H108" s="36" t="n">
        <x:f>D108*$B$8</x:f>
        <x:v>0</x:v>
      </x:c>
      <x:c r="I108" s="34" t="str"/>
    </x:row>
    <x:row r="109">
      <x:c r="A109" s="40" t="str"/>
      <x:c r="B109" s="41" t="n">
        <x:f>F108</x:f>
        <x:v>4</x:v>
      </x:c>
      <x:c r="C109" s="41" t="n">
        <x:v>0</x:v>
      </x:c>
      <x:c r="D109" s="41" t="n">
        <x:v>0</x:v>
      </x:c>
      <x:c r="E109" s="41" t="n">
        <x:v>0</x:v>
      </x:c>
      <x:c r="F109" s="41" t="n">
        <x:f>B109+C109+E109-D109</x:f>
        <x:v>4</x:v>
      </x:c>
      <x:c r="G109" s="36" t="n">
        <x:f>D109*$B$6</x:f>
        <x:v>0</x:v>
      </x:c>
      <x:c r="H109" s="36" t="n">
        <x:f>D109*$B$8</x:f>
        <x:v>0</x:v>
      </x:c>
      <x:c r="I109" s="34" t="str"/>
    </x:row>
    <x:row r="110">
      <x:c r="A110" s="40" t="str"/>
      <x:c r="B110" s="41" t="n">
        <x:f>F109</x:f>
        <x:v>4</x:v>
      </x:c>
      <x:c r="C110" s="41" t="n">
        <x:v>0</x:v>
      </x:c>
      <x:c r="D110" s="41" t="n">
        <x:v>0</x:v>
      </x:c>
      <x:c r="E110" s="41" t="n">
        <x:v>0</x:v>
      </x:c>
      <x:c r="F110" s="41" t="n">
        <x:f>B110+C110+E110-D110</x:f>
        <x:v>4</x:v>
      </x:c>
      <x:c r="G110" s="36" t="n">
        <x:f>D110*$B$6</x:f>
        <x:v>0</x:v>
      </x:c>
      <x:c r="H110" s="36" t="n">
        <x:f>D110*$B$8</x:f>
        <x:v>0</x:v>
      </x:c>
      <x:c r="I110" s="34" t="str"/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7a4760bba1d741c9"/>
  </x:tableParts>
</x:worksheet>
</file>